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firstSheet="5" activeTab="6"/>
  </bookViews>
  <sheets>
    <sheet name="2017-2024月度" sheetId="1" r:id="rId1"/>
    <sheet name="大工业" sheetId="2" r:id="rId2"/>
    <sheet name="一般工商业及其他" sheetId="3" r:id="rId3"/>
    <sheet name="农业" sheetId="4" r:id="rId4"/>
    <sheet name="居民" sheetId="5" r:id="rId5"/>
    <sheet name="趸售" sheetId="6" r:id="rId6"/>
    <sheet name="大工业2020-2024" sheetId="7" r:id="rId7"/>
    <sheet name="一般工商业及其他2020-2024" sheetId="8" r:id="rId8"/>
    <sheet name="农业2020-2024" sheetId="9" r:id="rId9"/>
    <sheet name="居民2020-2024" sheetId="10" r:id="rId10"/>
    <sheet name="趸售2020-2024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<sst xmlns="http://schemas.openxmlformats.org/spreadsheetml/2006/main" count="194" uniqueCount="32">
  <si>
    <t>月份</t>
  </si>
  <si>
    <t>售电量</t>
  </si>
  <si>
    <t>大工业</t>
  </si>
  <si>
    <t>一般工商业及其他</t>
  </si>
  <si>
    <t>农业</t>
  </si>
  <si>
    <t>居民</t>
  </si>
  <si>
    <t>趸售</t>
  </si>
  <si>
    <t>2024/1月</t>
  </si>
  <si>
    <t>2024/2月</t>
  </si>
  <si>
    <t>2024/3月</t>
  </si>
  <si>
    <t>2024/4月</t>
  </si>
  <si>
    <t>2024/5月</t>
  </si>
  <si>
    <t>2024/6月</t>
  </si>
  <si>
    <t>2024/7月</t>
  </si>
  <si>
    <t>2024/8月</t>
  </si>
  <si>
    <t>长期循环趋势</t>
  </si>
  <si>
    <t>季节调整系数</t>
  </si>
  <si>
    <t>不规则系数</t>
  </si>
  <si>
    <t>售电量预测</t>
  </si>
  <si>
    <t>历史售电量</t>
  </si>
  <si>
    <t>2024/9月</t>
  </si>
  <si>
    <t>2024/10月</t>
  </si>
  <si>
    <t>2024/11月</t>
  </si>
  <si>
    <t>2024/12月</t>
  </si>
  <si>
    <t>​</t>
  </si>
  <si>
    <t>工商业</t>
  </si>
  <si>
    <t>步长5</t>
  </si>
  <si>
    <t>步长12</t>
  </si>
  <si>
    <t>大工业预测值</t>
  </si>
  <si>
    <t>误差</t>
  </si>
  <si>
    <t>MAPE</t>
  </si>
  <si>
    <t>步长7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</si>
</sst>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.0000_);[Red]\(0.0000\)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color rgb="FF000000"/>
      <name val="宋体"/>
      <charset val="134"/>
    </font>
    <font>
      <sz val="9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6">
    <xf numFmtId="0" fontId="0" fillId="0" borderId="0" xfId="0"/>
    <xf numFmtId="176" fontId="1" fillId="0" borderId="0" xfId="0" applyNumberFormat="1" applyFont="1" applyAlignment="1">
      <alignment horizontal="right"/>
    </xf>
    <xf numFmtId="176" fontId="0" fillId="0" borderId="0" xfId="0" applyNumberFormat="1"/>
    <xf numFmtId="0" fontId="0" fillId="0" borderId="0" xfId="0" applyFont="1" applyFill="1" applyAlignment="1">
      <alignment horizontal="center" vertical="center"/>
    </xf>
    <xf numFmtId="177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0" fillId="2" borderId="1" xfId="0" applyFill="1" applyBorder="1"/>
    <xf numFmtId="0" fontId="0" fillId="0" borderId="0" xfId="3" applyNumberFormat="1"/>
    <xf numFmtId="0" fontId="0" fillId="0" borderId="0" xfId="3" applyNumberFormat="1" applyFill="1" applyBorder="1"/>
    <xf numFmtId="0" fontId="0" fillId="3" borderId="2" xfId="3" applyNumberFormat="1" applyFill="1" applyBorder="1"/>
    <xf numFmtId="0" fontId="0" fillId="3" borderId="3" xfId="3" applyNumberFormat="1" applyFill="1" applyBorder="1"/>
    <xf numFmtId="0" fontId="0" fillId="3" borderId="1" xfId="3" applyNumberFormat="1" applyFill="1" applyBorder="1"/>
    <xf numFmtId="10" fontId="0" fillId="0" borderId="0" xfId="0" applyNumberFormat="1"/>
    <xf numFmtId="177" fontId="3" fillId="0" borderId="0" xfId="0" applyNumberFormat="1" applyFont="1" applyBorder="1"/>
    <xf numFmtId="0" fontId="0" fillId="0" borderId="1" xfId="0" applyFill="1" applyBorder="1"/>
    <xf numFmtId="0" fontId="0" fillId="0" borderId="0" xfId="0" applyFill="1"/>
    <xf numFmtId="9" fontId="0" fillId="0" borderId="0" xfId="3" applyAlignment="1"/>
    <xf numFmtId="0" fontId="0" fillId="0" borderId="0" xfId="3" applyNumberFormat="1" applyAlignment="1"/>
    <xf numFmtId="177" fontId="2" fillId="4" borderId="1" xfId="0" applyNumberFormat="1" applyFont="1" applyFill="1" applyBorder="1" applyAlignment="1">
      <alignment horizontal="right" vertical="center"/>
    </xf>
    <xf numFmtId="0" fontId="0" fillId="3" borderId="4" xfId="0" applyFill="1" applyBorder="1"/>
    <xf numFmtId="0" fontId="0" fillId="0" borderId="1" xfId="0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9" fontId="0" fillId="0" borderId="0" xfId="3" applyNumberFormat="1" applyAlignment="1"/>
    <xf numFmtId="177" fontId="0" fillId="0" borderId="0" xfId="0" applyNumberFormat="1"/>
    <xf numFmtId="177" fontId="1" fillId="0" borderId="0" xfId="0" applyNumberFormat="1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大工业!$B$1</c:f>
              <c:strCache>
                <c:ptCount val="1"/>
                <c:pt idx="0">
                  <c:v>长期循环趋势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大工业!$A$2:$A$61</c:f>
              <c:numCache>
                <c:formatCode>yyyy"年"m"月";@</c:formatCode>
                <c:ptCount val="60"/>
                <c:pt idx="0" c:formatCode="yyyy&quot;年&quot;m&quot;月&quot;;@">
                  <c:v>42736</c:v>
                </c:pt>
                <c:pt idx="1" c:formatCode="yyyy&quot;年&quot;m&quot;月&quot;;@">
                  <c:v>42767</c:v>
                </c:pt>
                <c:pt idx="2" c:formatCode="yyyy&quot;年&quot;m&quot;月&quot;;@">
                  <c:v>42795</c:v>
                </c:pt>
                <c:pt idx="3" c:formatCode="yyyy&quot;年&quot;m&quot;月&quot;;@">
                  <c:v>42826</c:v>
                </c:pt>
                <c:pt idx="4" c:formatCode="yyyy&quot;年&quot;m&quot;月&quot;;@">
                  <c:v>42856</c:v>
                </c:pt>
                <c:pt idx="5" c:formatCode="yyyy&quot;年&quot;m&quot;月&quot;;@">
                  <c:v>42887</c:v>
                </c:pt>
                <c:pt idx="6" c:formatCode="yyyy&quot;年&quot;m&quot;月&quot;;@">
                  <c:v>42917</c:v>
                </c:pt>
                <c:pt idx="7" c:formatCode="yyyy&quot;年&quot;m&quot;月&quot;;@">
                  <c:v>42948</c:v>
                </c:pt>
                <c:pt idx="8" c:formatCode="yyyy&quot;年&quot;m&quot;月&quot;;@">
                  <c:v>42979</c:v>
                </c:pt>
                <c:pt idx="9" c:formatCode="yyyy&quot;年&quot;m&quot;月&quot;;@">
                  <c:v>43009</c:v>
                </c:pt>
                <c:pt idx="10" c:formatCode="yyyy&quot;年&quot;m&quot;月&quot;;@">
                  <c:v>43040</c:v>
                </c:pt>
                <c:pt idx="11" c:formatCode="yyyy&quot;年&quot;m&quot;月&quot;;@">
                  <c:v>43070</c:v>
                </c:pt>
                <c:pt idx="12" c:formatCode="yyyy&quot;年&quot;m&quot;月&quot;;@">
                  <c:v>43101</c:v>
                </c:pt>
                <c:pt idx="13" c:formatCode="yyyy&quot;年&quot;m&quot;月&quot;;@">
                  <c:v>43132</c:v>
                </c:pt>
                <c:pt idx="14" c:formatCode="yyyy&quot;年&quot;m&quot;月&quot;;@">
                  <c:v>43160</c:v>
                </c:pt>
                <c:pt idx="15" c:formatCode="yyyy&quot;年&quot;m&quot;月&quot;;@">
                  <c:v>43191</c:v>
                </c:pt>
                <c:pt idx="16" c:formatCode="yyyy&quot;年&quot;m&quot;月&quot;;@">
                  <c:v>43221</c:v>
                </c:pt>
                <c:pt idx="17" c:formatCode="yyyy&quot;年&quot;m&quot;月&quot;;@">
                  <c:v>43252</c:v>
                </c:pt>
                <c:pt idx="18" c:formatCode="yyyy&quot;年&quot;m&quot;月&quot;;@">
                  <c:v>43282</c:v>
                </c:pt>
                <c:pt idx="19" c:formatCode="yyyy&quot;年&quot;m&quot;月&quot;;@">
                  <c:v>43313</c:v>
                </c:pt>
                <c:pt idx="20" c:formatCode="yyyy&quot;年&quot;m&quot;月&quot;;@">
                  <c:v>43344</c:v>
                </c:pt>
                <c:pt idx="21" c:formatCode="yyyy&quot;年&quot;m&quot;月&quot;;@">
                  <c:v>43374</c:v>
                </c:pt>
                <c:pt idx="22" c:formatCode="yyyy&quot;年&quot;m&quot;月&quot;;@">
                  <c:v>43405</c:v>
                </c:pt>
                <c:pt idx="23" c:formatCode="yyyy&quot;年&quot;m&quot;月&quot;;@">
                  <c:v>43435</c:v>
                </c:pt>
                <c:pt idx="24" c:formatCode="yyyy&quot;年&quot;m&quot;月&quot;;@">
                  <c:v>43466</c:v>
                </c:pt>
                <c:pt idx="25" c:formatCode="yyyy&quot;年&quot;m&quot;月&quot;;@">
                  <c:v>43497</c:v>
                </c:pt>
                <c:pt idx="26" c:formatCode="yyyy&quot;年&quot;m&quot;月&quot;;@">
                  <c:v>43525</c:v>
                </c:pt>
                <c:pt idx="27" c:formatCode="yyyy&quot;年&quot;m&quot;月&quot;;@">
                  <c:v>43556</c:v>
                </c:pt>
                <c:pt idx="28" c:formatCode="yyyy&quot;年&quot;m&quot;月&quot;;@">
                  <c:v>43586</c:v>
                </c:pt>
                <c:pt idx="29" c:formatCode="yyyy&quot;年&quot;m&quot;月&quot;;@">
                  <c:v>43617</c:v>
                </c:pt>
                <c:pt idx="30" c:formatCode="yyyy&quot;年&quot;m&quot;月&quot;;@">
                  <c:v>43647</c:v>
                </c:pt>
                <c:pt idx="31" c:formatCode="yyyy&quot;年&quot;m&quot;月&quot;;@">
                  <c:v>43678</c:v>
                </c:pt>
                <c:pt idx="32" c:formatCode="yyyy&quot;年&quot;m&quot;月&quot;;@">
                  <c:v>43709</c:v>
                </c:pt>
                <c:pt idx="33" c:formatCode="yyyy&quot;年&quot;m&quot;月&quot;;@">
                  <c:v>43739</c:v>
                </c:pt>
                <c:pt idx="34" c:formatCode="yyyy&quot;年&quot;m&quot;月&quot;;@">
                  <c:v>43770</c:v>
                </c:pt>
                <c:pt idx="35" c:formatCode="yyyy&quot;年&quot;m&quot;月&quot;;@">
                  <c:v>43800</c:v>
                </c:pt>
                <c:pt idx="36" c:formatCode="yyyy&quot;年&quot;m&quot;月&quot;;@">
                  <c:v>43831</c:v>
                </c:pt>
                <c:pt idx="37" c:formatCode="yyyy&quot;年&quot;m&quot;月&quot;;@">
                  <c:v>43862</c:v>
                </c:pt>
                <c:pt idx="38" c:formatCode="yyyy&quot;年&quot;m&quot;月&quot;;@">
                  <c:v>43891</c:v>
                </c:pt>
                <c:pt idx="39" c:formatCode="yyyy&quot;年&quot;m&quot;月&quot;;@">
                  <c:v>43922</c:v>
                </c:pt>
                <c:pt idx="40" c:formatCode="yyyy&quot;年&quot;m&quot;月&quot;;@">
                  <c:v>43952</c:v>
                </c:pt>
                <c:pt idx="41" c:formatCode="yyyy&quot;年&quot;m&quot;月&quot;;@">
                  <c:v>43983</c:v>
                </c:pt>
                <c:pt idx="42" c:formatCode="yyyy&quot;年&quot;m&quot;月&quot;;@">
                  <c:v>44013</c:v>
                </c:pt>
                <c:pt idx="43" c:formatCode="yyyy&quot;年&quot;m&quot;月&quot;;@">
                  <c:v>44044</c:v>
                </c:pt>
                <c:pt idx="44" c:formatCode="yyyy&quot;年&quot;m&quot;月&quot;;@">
                  <c:v>44075</c:v>
                </c:pt>
                <c:pt idx="45" c:formatCode="yyyy&quot;年&quot;m&quot;月&quot;;@">
                  <c:v>44105</c:v>
                </c:pt>
                <c:pt idx="46" c:formatCode="yyyy&quot;年&quot;m&quot;月&quot;;@">
                  <c:v>44136</c:v>
                </c:pt>
                <c:pt idx="47" c:formatCode="yyyy&quot;年&quot;m&quot;月&quot;;@">
                  <c:v>44166</c:v>
                </c:pt>
                <c:pt idx="48" c:formatCode="yyyy&quot;年&quot;m&quot;月&quot;;@">
                  <c:v>44197</c:v>
                </c:pt>
                <c:pt idx="49" c:formatCode="yyyy&quot;年&quot;m&quot;月&quot;;@">
                  <c:v>44228</c:v>
                </c:pt>
                <c:pt idx="50" c:formatCode="yyyy&quot;年&quot;m&quot;月&quot;;@">
                  <c:v>44256</c:v>
                </c:pt>
                <c:pt idx="51" c:formatCode="yyyy&quot;年&quot;m&quot;月&quot;;@">
                  <c:v>44287</c:v>
                </c:pt>
                <c:pt idx="52" c:formatCode="yyyy&quot;年&quot;m&quot;月&quot;;@">
                  <c:v>44317</c:v>
                </c:pt>
                <c:pt idx="53" c:formatCode="yyyy&quot;年&quot;m&quot;月&quot;;@">
                  <c:v>44348</c:v>
                </c:pt>
                <c:pt idx="54" c:formatCode="yyyy&quot;年&quot;m&quot;月&quot;;@">
                  <c:v>44378</c:v>
                </c:pt>
                <c:pt idx="55" c:formatCode="yyyy&quot;年&quot;m&quot;月&quot;;@">
                  <c:v>44409</c:v>
                </c:pt>
                <c:pt idx="56" c:formatCode="yyyy&quot;年&quot;m&quot;月&quot;;@">
                  <c:v>44440</c:v>
                </c:pt>
                <c:pt idx="57" c:formatCode="yyyy&quot;年&quot;m&quot;月&quot;;@">
                  <c:v>44470</c:v>
                </c:pt>
                <c:pt idx="58" c:formatCode="yyyy&quot;年&quot;m&quot;月&quot;;@">
                  <c:v>44501</c:v>
                </c:pt>
                <c:pt idx="59" c:formatCode="yyyy&quot;年&quot;m&quot;月&quot;;@">
                  <c:v>44531</c:v>
                </c:pt>
              </c:numCache>
            </c:numRef>
          </c:cat>
          <c:val>
            <c:numRef>
              <c:f>大工业!$B$2:$B$61</c:f>
              <c:numCache>
                <c:formatCode>General</c:formatCode>
                <c:ptCount val="60"/>
                <c:pt idx="0">
                  <c:v>141631.458787489</c:v>
                </c:pt>
                <c:pt idx="1">
                  <c:v>143485.444119133</c:v>
                </c:pt>
                <c:pt idx="2">
                  <c:v>145072.503462245</c:v>
                </c:pt>
                <c:pt idx="3">
                  <c:v>146188.224101766</c:v>
                </c:pt>
                <c:pt idx="4">
                  <c:v>146304.58600946</c:v>
                </c:pt>
                <c:pt idx="5">
                  <c:v>145260.389590695</c:v>
                </c:pt>
                <c:pt idx="6">
                  <c:v>143819.166700284</c:v>
                </c:pt>
                <c:pt idx="7">
                  <c:v>143092.432509754</c:v>
                </c:pt>
                <c:pt idx="8">
                  <c:v>143980.202435955</c:v>
                </c:pt>
                <c:pt idx="9">
                  <c:v>146410.257337899</c:v>
                </c:pt>
                <c:pt idx="10">
                  <c:v>149824.398131813</c:v>
                </c:pt>
                <c:pt idx="11">
                  <c:v>153611.804102643</c:v>
                </c:pt>
                <c:pt idx="12">
                  <c:v>156554.638134648</c:v>
                </c:pt>
                <c:pt idx="13">
                  <c:v>157637.393576688</c:v>
                </c:pt>
                <c:pt idx="14">
                  <c:v>156762.462842199</c:v>
                </c:pt>
                <c:pt idx="15">
                  <c:v>155331.201191271</c:v>
                </c:pt>
                <c:pt idx="16">
                  <c:v>154878.185480544</c:v>
                </c:pt>
                <c:pt idx="17">
                  <c:v>155831.2146044</c:v>
                </c:pt>
                <c:pt idx="18">
                  <c:v>158177.783909548</c:v>
                </c:pt>
                <c:pt idx="19">
                  <c:v>161593.694422167</c:v>
                </c:pt>
                <c:pt idx="20">
                  <c:v>165214.16870029</c:v>
                </c:pt>
                <c:pt idx="21">
                  <c:v>168388.836698624</c:v>
                </c:pt>
                <c:pt idx="22">
                  <c:v>170814.400029937</c:v>
                </c:pt>
                <c:pt idx="23">
                  <c:v>172671.873860943</c:v>
                </c:pt>
                <c:pt idx="24">
                  <c:v>174636.52063978</c:v>
                </c:pt>
                <c:pt idx="25">
                  <c:v>176867.510054666</c:v>
                </c:pt>
                <c:pt idx="26">
                  <c:v>178994.49465816</c:v>
                </c:pt>
                <c:pt idx="27">
                  <c:v>180461.20320383</c:v>
                </c:pt>
                <c:pt idx="28">
                  <c:v>180903.467781796</c:v>
                </c:pt>
                <c:pt idx="29">
                  <c:v>180753.743972891</c:v>
                </c:pt>
                <c:pt idx="30">
                  <c:v>180373.271790221</c:v>
                </c:pt>
                <c:pt idx="31">
                  <c:v>179965.499704478</c:v>
                </c:pt>
                <c:pt idx="32">
                  <c:v>179693.956253335</c:v>
                </c:pt>
                <c:pt idx="33">
                  <c:v>179246.296139706</c:v>
                </c:pt>
                <c:pt idx="34">
                  <c:v>178109.424426641</c:v>
                </c:pt>
                <c:pt idx="35">
                  <c:v>176502.925399168</c:v>
                </c:pt>
                <c:pt idx="36">
                  <c:v>175398.191321913</c:v>
                </c:pt>
                <c:pt idx="37">
                  <c:v>175867.014993262</c:v>
                </c:pt>
                <c:pt idx="38">
                  <c:v>178300.268461454</c:v>
                </c:pt>
                <c:pt idx="39">
                  <c:v>182538.268553191</c:v>
                </c:pt>
                <c:pt idx="40">
                  <c:v>187855.156321549</c:v>
                </c:pt>
                <c:pt idx="41">
                  <c:v>193286.810657767</c:v>
                </c:pt>
                <c:pt idx="42">
                  <c:v>197690.484372702</c:v>
                </c:pt>
                <c:pt idx="43">
                  <c:v>200776.885459038</c:v>
                </c:pt>
                <c:pt idx="44">
                  <c:v>203493.440820553</c:v>
                </c:pt>
                <c:pt idx="45">
                  <c:v>206640.695798778</c:v>
                </c:pt>
                <c:pt idx="46">
                  <c:v>210497.297198515</c:v>
                </c:pt>
                <c:pt idx="47">
                  <c:v>214232.265535555</c:v>
                </c:pt>
                <c:pt idx="48">
                  <c:v>216491.111310378</c:v>
                </c:pt>
                <c:pt idx="49">
                  <c:v>217426.07457415</c:v>
                </c:pt>
                <c:pt idx="50">
                  <c:v>218328.931009019</c:v>
                </c:pt>
                <c:pt idx="51">
                  <c:v>219953.30631039</c:v>
                </c:pt>
                <c:pt idx="52">
                  <c:v>222697.387164741</c:v>
                </c:pt>
                <c:pt idx="53">
                  <c:v>226365.554388541</c:v>
                </c:pt>
                <c:pt idx="54">
                  <c:v>230232.560448186</c:v>
                </c:pt>
                <c:pt idx="55">
                  <c:v>232764.846555889</c:v>
                </c:pt>
                <c:pt idx="56">
                  <c:v>232751.292279746</c:v>
                </c:pt>
                <c:pt idx="57">
                  <c:v>230654.002032578</c:v>
                </c:pt>
                <c:pt idx="58">
                  <c:v>228271.975753149</c:v>
                </c:pt>
                <c:pt idx="59">
                  <c:v>227035.280918947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6312445"/>
        <c:axId val="699207408"/>
      </c:lineChart>
      <c:dateAx>
        <c:axId val="2063124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9207408"/>
        <c:crosses val="autoZero"/>
        <c:auto val="1"/>
        <c:lblOffset val="100"/>
        <c:baseTimeUnit val="months"/>
      </c:dateAx>
      <c:valAx>
        <c:axId val="69920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3124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售电量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大工业!$E$1</c:f>
              <c:strCache>
                <c:ptCount val="1"/>
                <c:pt idx="0">
                  <c:v>售电量预测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大工业!$A$2:$A$97</c:f>
              <c:strCache>
                <c:ptCount val="96"/>
                <c:pt idx="0" c:formatCode="yyyy&quot;年&quot;m&quot;月&quot;;@">
                  <c:v>2017年1月</c:v>
                </c:pt>
                <c:pt idx="1" c:formatCode="yyyy&quot;年&quot;m&quot;月&quot;;@">
                  <c:v>2017年2月</c:v>
                </c:pt>
                <c:pt idx="2" c:formatCode="yyyy&quot;年&quot;m&quot;月&quot;;@">
                  <c:v>2017年3月</c:v>
                </c:pt>
                <c:pt idx="3" c:formatCode="yyyy&quot;年&quot;m&quot;月&quot;;@">
                  <c:v>2017年4月</c:v>
                </c:pt>
                <c:pt idx="4" c:formatCode="yyyy&quot;年&quot;m&quot;月&quot;;@">
                  <c:v>2017年5月</c:v>
                </c:pt>
                <c:pt idx="5" c:formatCode="yyyy&quot;年&quot;m&quot;月&quot;;@">
                  <c:v>2017年6月</c:v>
                </c:pt>
                <c:pt idx="6" c:formatCode="yyyy&quot;年&quot;m&quot;月&quot;;@">
                  <c:v>2017年7月</c:v>
                </c:pt>
                <c:pt idx="7" c:formatCode="yyyy&quot;年&quot;m&quot;月&quot;;@">
                  <c:v>2017年8月</c:v>
                </c:pt>
                <c:pt idx="8" c:formatCode="yyyy&quot;年&quot;m&quot;月&quot;;@">
                  <c:v>2017年9月</c:v>
                </c:pt>
                <c:pt idx="9" c:formatCode="yyyy&quot;年&quot;m&quot;月&quot;;@">
                  <c:v>2017年10月</c:v>
                </c:pt>
                <c:pt idx="10" c:formatCode="yyyy&quot;年&quot;m&quot;月&quot;;@">
                  <c:v>2017年11月</c:v>
                </c:pt>
                <c:pt idx="11" c:formatCode="yyyy&quot;年&quot;m&quot;月&quot;;@">
                  <c:v>2017年12月</c:v>
                </c:pt>
                <c:pt idx="12" c:formatCode="yyyy&quot;年&quot;m&quot;月&quot;;@">
                  <c:v>2018年1月</c:v>
                </c:pt>
                <c:pt idx="13" c:formatCode="yyyy&quot;年&quot;m&quot;月&quot;;@">
                  <c:v>2018年2月</c:v>
                </c:pt>
                <c:pt idx="14" c:formatCode="yyyy&quot;年&quot;m&quot;月&quot;;@">
                  <c:v>2018年3月</c:v>
                </c:pt>
                <c:pt idx="15" c:formatCode="yyyy&quot;年&quot;m&quot;月&quot;;@">
                  <c:v>2018年4月</c:v>
                </c:pt>
                <c:pt idx="16" c:formatCode="yyyy&quot;年&quot;m&quot;月&quot;;@">
                  <c:v>2018年5月</c:v>
                </c:pt>
                <c:pt idx="17" c:formatCode="yyyy&quot;年&quot;m&quot;月&quot;;@">
                  <c:v>2018年6月</c:v>
                </c:pt>
                <c:pt idx="18" c:formatCode="yyyy&quot;年&quot;m&quot;月&quot;;@">
                  <c:v>2018年7月</c:v>
                </c:pt>
                <c:pt idx="19" c:formatCode="yyyy&quot;年&quot;m&quot;月&quot;;@">
                  <c:v>2018年8月</c:v>
                </c:pt>
                <c:pt idx="20" c:formatCode="yyyy&quot;年&quot;m&quot;月&quot;;@">
                  <c:v>2018年9月</c:v>
                </c:pt>
                <c:pt idx="21" c:formatCode="yyyy&quot;年&quot;m&quot;月&quot;;@">
                  <c:v>2018年10月</c:v>
                </c:pt>
                <c:pt idx="22" c:formatCode="yyyy&quot;年&quot;m&quot;月&quot;;@">
                  <c:v>2018年11月</c:v>
                </c:pt>
                <c:pt idx="23" c:formatCode="yyyy&quot;年&quot;m&quot;月&quot;;@">
                  <c:v>2018年12月</c:v>
                </c:pt>
                <c:pt idx="24" c:formatCode="yyyy&quot;年&quot;m&quot;月&quot;;@">
                  <c:v>2019年1月</c:v>
                </c:pt>
                <c:pt idx="25" c:formatCode="yyyy&quot;年&quot;m&quot;月&quot;;@">
                  <c:v>2019年2月</c:v>
                </c:pt>
                <c:pt idx="26" c:formatCode="yyyy&quot;年&quot;m&quot;月&quot;;@">
                  <c:v>2019年3月</c:v>
                </c:pt>
                <c:pt idx="27" c:formatCode="yyyy&quot;年&quot;m&quot;月&quot;;@">
                  <c:v>2019年4月</c:v>
                </c:pt>
                <c:pt idx="28" c:formatCode="yyyy&quot;年&quot;m&quot;月&quot;;@">
                  <c:v>2019年5月</c:v>
                </c:pt>
                <c:pt idx="29" c:formatCode="yyyy&quot;年&quot;m&quot;月&quot;;@">
                  <c:v>2019年6月</c:v>
                </c:pt>
                <c:pt idx="30" c:formatCode="yyyy&quot;年&quot;m&quot;月&quot;;@">
                  <c:v>2019年7月</c:v>
                </c:pt>
                <c:pt idx="31" c:formatCode="yyyy&quot;年&quot;m&quot;月&quot;;@">
                  <c:v>2019年8月</c:v>
                </c:pt>
                <c:pt idx="32" c:formatCode="yyyy&quot;年&quot;m&quot;月&quot;;@">
                  <c:v>2019年9月</c:v>
                </c:pt>
                <c:pt idx="33" c:formatCode="yyyy&quot;年&quot;m&quot;月&quot;;@">
                  <c:v>2019年10月</c:v>
                </c:pt>
                <c:pt idx="34" c:formatCode="yyyy&quot;年&quot;m&quot;月&quot;;@">
                  <c:v>2019年11月</c:v>
                </c:pt>
                <c:pt idx="35" c:formatCode="yyyy&quot;年&quot;m&quot;月&quot;;@">
                  <c:v>2019年12月</c:v>
                </c:pt>
                <c:pt idx="36" c:formatCode="yyyy&quot;年&quot;m&quot;月&quot;;@">
                  <c:v>2020年1月</c:v>
                </c:pt>
                <c:pt idx="37" c:formatCode="yyyy&quot;年&quot;m&quot;月&quot;;@">
                  <c:v>2020年2月</c:v>
                </c:pt>
                <c:pt idx="38" c:formatCode="yyyy&quot;年&quot;m&quot;月&quot;;@">
                  <c:v>2020年3月</c:v>
                </c:pt>
                <c:pt idx="39" c:formatCode="yyyy&quot;年&quot;m&quot;月&quot;;@">
                  <c:v>2020年4月</c:v>
                </c:pt>
                <c:pt idx="40" c:formatCode="yyyy&quot;年&quot;m&quot;月&quot;;@">
                  <c:v>2020年5月</c:v>
                </c:pt>
                <c:pt idx="41" c:formatCode="yyyy&quot;年&quot;m&quot;月&quot;;@">
                  <c:v>2020年6月</c:v>
                </c:pt>
                <c:pt idx="42" c:formatCode="yyyy&quot;年&quot;m&quot;月&quot;;@">
                  <c:v>2020年7月</c:v>
                </c:pt>
                <c:pt idx="43" c:formatCode="yyyy&quot;年&quot;m&quot;月&quot;;@">
                  <c:v>2020年8月</c:v>
                </c:pt>
                <c:pt idx="44" c:formatCode="yyyy&quot;年&quot;m&quot;月&quot;;@">
                  <c:v>2020年9月</c:v>
                </c:pt>
                <c:pt idx="45" c:formatCode="yyyy&quot;年&quot;m&quot;月&quot;;@">
                  <c:v>2020年10月</c:v>
                </c:pt>
                <c:pt idx="46" c:formatCode="yyyy&quot;年&quot;m&quot;月&quot;;@">
                  <c:v>2020年11月</c:v>
                </c:pt>
                <c:pt idx="47" c:formatCode="yyyy&quot;年&quot;m&quot;月&quot;;@">
                  <c:v>2020年12月</c:v>
                </c:pt>
                <c:pt idx="48" c:formatCode="yyyy&quot;年&quot;m&quot;月&quot;;@">
                  <c:v>2021年1月</c:v>
                </c:pt>
                <c:pt idx="49" c:formatCode="yyyy&quot;年&quot;m&quot;月&quot;;@">
                  <c:v>2021年2月</c:v>
                </c:pt>
                <c:pt idx="50" c:formatCode="yyyy&quot;年&quot;m&quot;月&quot;;@">
                  <c:v>2021年3月</c:v>
                </c:pt>
                <c:pt idx="51" c:formatCode="yyyy&quot;年&quot;m&quot;月&quot;;@">
                  <c:v>2021年4月</c:v>
                </c:pt>
                <c:pt idx="52" c:formatCode="yyyy&quot;年&quot;m&quot;月&quot;;@">
                  <c:v>2021年5月</c:v>
                </c:pt>
                <c:pt idx="53" c:formatCode="yyyy&quot;年&quot;m&quot;月&quot;;@">
                  <c:v>2021年6月</c:v>
                </c:pt>
                <c:pt idx="54" c:formatCode="yyyy&quot;年&quot;m&quot;月&quot;;@">
                  <c:v>2021年7月</c:v>
                </c:pt>
                <c:pt idx="55" c:formatCode="yyyy&quot;年&quot;m&quot;月&quot;;@">
                  <c:v>2021年8月</c:v>
                </c:pt>
                <c:pt idx="56" c:formatCode="yyyy&quot;年&quot;m&quot;月&quot;;@">
                  <c:v>2021年9月</c:v>
                </c:pt>
                <c:pt idx="57" c:formatCode="yyyy&quot;年&quot;m&quot;月&quot;;@">
                  <c:v>2021年10月</c:v>
                </c:pt>
                <c:pt idx="58" c:formatCode="yyyy&quot;年&quot;m&quot;月&quot;;@">
                  <c:v>2021年11月</c:v>
                </c:pt>
                <c:pt idx="59" c:formatCode="yyyy&quot;年&quot;m&quot;月&quot;;@">
                  <c:v>2021年12月</c:v>
                </c:pt>
                <c:pt idx="60" c:formatCode="yyyy&quot;年&quot;m&quot;月&quot;;@">
                  <c:v>2022年1月</c:v>
                </c:pt>
                <c:pt idx="61" c:formatCode="yyyy&quot;年&quot;m&quot;月&quot;;@">
                  <c:v>2022年2月</c:v>
                </c:pt>
                <c:pt idx="62" c:formatCode="yyyy&quot;年&quot;m&quot;月&quot;;@">
                  <c:v>2022年3月</c:v>
                </c:pt>
                <c:pt idx="63" c:formatCode="yyyy&quot;年&quot;m&quot;月&quot;;@">
                  <c:v>2022年4月</c:v>
                </c:pt>
                <c:pt idx="64" c:formatCode="yyyy&quot;年&quot;m&quot;月&quot;;@">
                  <c:v>2022年5月</c:v>
                </c:pt>
                <c:pt idx="65" c:formatCode="yyyy&quot;年&quot;m&quot;月&quot;;@">
                  <c:v>2022年6月</c:v>
                </c:pt>
                <c:pt idx="66" c:formatCode="yyyy&quot;年&quot;m&quot;月&quot;;@">
                  <c:v>2022年7月</c:v>
                </c:pt>
                <c:pt idx="67" c:formatCode="yyyy&quot;年&quot;m&quot;月&quot;;@">
                  <c:v>2022年8月</c:v>
                </c:pt>
                <c:pt idx="68" c:formatCode="yyyy&quot;年&quot;m&quot;月&quot;;@">
                  <c:v>2022年9月</c:v>
                </c:pt>
                <c:pt idx="69" c:formatCode="yyyy&quot;年&quot;m&quot;月&quot;;@">
                  <c:v>2022年10月</c:v>
                </c:pt>
                <c:pt idx="70" c:formatCode="yyyy&quot;年&quot;m&quot;月&quot;;@">
                  <c:v>2022年11月</c:v>
                </c:pt>
                <c:pt idx="71" c:formatCode="yyyy&quot;年&quot;m&quot;月&quot;;@">
                  <c:v>2022年12月</c:v>
                </c:pt>
                <c:pt idx="72" c:formatCode="yyyy&quot;年&quot;m&quot;月&quot;;@">
                  <c:v>2023年1月</c:v>
                </c:pt>
                <c:pt idx="73" c:formatCode="yyyy&quot;年&quot;m&quot;月&quot;;@">
                  <c:v>2023年2月</c:v>
                </c:pt>
                <c:pt idx="74" c:formatCode="yyyy&quot;年&quot;m&quot;月&quot;;@">
                  <c:v>2023年3月</c:v>
                </c:pt>
                <c:pt idx="75" c:formatCode="yyyy&quot;年&quot;m&quot;月&quot;;@">
                  <c:v>2023年4月</c:v>
                </c:pt>
                <c:pt idx="76" c:formatCode="yyyy&quot;年&quot;m&quot;月&quot;;@">
                  <c:v>2023年5月</c:v>
                </c:pt>
                <c:pt idx="77" c:formatCode="yyyy&quot;年&quot;m&quot;月&quot;;@">
                  <c:v>2023年6月</c:v>
                </c:pt>
                <c:pt idx="78" c:formatCode="yyyy&quot;年&quot;m&quot;月&quot;;@">
                  <c:v>2023年7月</c:v>
                </c:pt>
                <c:pt idx="79" c:formatCode="yyyy&quot;年&quot;m&quot;月&quot;;@">
                  <c:v>2023年8月</c:v>
                </c:pt>
                <c:pt idx="80" c:formatCode="yyyy&quot;年&quot;m&quot;月&quot;;@">
                  <c:v>2023年9月</c:v>
                </c:pt>
                <c:pt idx="81" c:formatCode="yyyy&quot;年&quot;m&quot;月&quot;;@">
                  <c:v>2023年10月</c:v>
                </c:pt>
                <c:pt idx="82" c:formatCode="yyyy&quot;年&quot;m&quot;月&quot;;@">
                  <c:v>2023年11月</c:v>
                </c:pt>
                <c:pt idx="83" c:formatCode="yyyy&quot;年&quot;m&quot;月&quot;;@">
                  <c:v>2023年12月</c:v>
                </c:pt>
                <c:pt idx="84">
                  <c:v>2024/1月</c:v>
                </c:pt>
                <c:pt idx="85">
                  <c:v>2024/2月</c:v>
                </c:pt>
                <c:pt idx="86">
                  <c:v>2024/3月</c:v>
                </c:pt>
                <c:pt idx="87">
                  <c:v>2024/4月</c:v>
                </c:pt>
                <c:pt idx="88">
                  <c:v>2024/5月</c:v>
                </c:pt>
                <c:pt idx="89">
                  <c:v>2024/6月</c:v>
                </c:pt>
                <c:pt idx="90">
                  <c:v>2024/7月</c:v>
                </c:pt>
                <c:pt idx="91">
                  <c:v>2024/8月</c:v>
                </c:pt>
                <c:pt idx="92">
                  <c:v>2024/9月</c:v>
                </c:pt>
                <c:pt idx="93">
                  <c:v>2024/10月</c:v>
                </c:pt>
                <c:pt idx="94">
                  <c:v>2024/11月</c:v>
                </c:pt>
                <c:pt idx="95">
                  <c:v>2024/12月</c:v>
                </c:pt>
              </c:strCache>
            </c:strRef>
          </c:cat>
          <c:val>
            <c:numRef>
              <c:f>大工业!$E$2:$E$97</c:f>
              <c:numCache>
                <c:formatCode>0.0000_);[Red]\(0.0000\)</c:formatCode>
                <c:ptCount val="96"/>
                <c:pt idx="0">
                  <c:v>144710.730299999</c:v>
                </c:pt>
                <c:pt idx="1">
                  <c:v>105515.7564</c:v>
                </c:pt>
                <c:pt idx="2">
                  <c:v>129305.1441</c:v>
                </c:pt>
                <c:pt idx="3">
                  <c:v>147732.517099999</c:v>
                </c:pt>
                <c:pt idx="4">
                  <c:v>142396.0015</c:v>
                </c:pt>
                <c:pt idx="5">
                  <c:v>153729.3926</c:v>
                </c:pt>
                <c:pt idx="6">
                  <c:v>151945.999999999</c:v>
                </c:pt>
                <c:pt idx="7">
                  <c:v>153389</c:v>
                </c:pt>
                <c:pt idx="8">
                  <c:v>141842.000000001</c:v>
                </c:pt>
                <c:pt idx="9">
                  <c:v>147797</c:v>
                </c:pt>
                <c:pt idx="10">
                  <c:v>161625</c:v>
                </c:pt>
                <c:pt idx="11">
                  <c:v>163415</c:v>
                </c:pt>
                <c:pt idx="12">
                  <c:v>163673.921700001</c:v>
                </c:pt>
                <c:pt idx="13">
                  <c:v>150168.727099999</c:v>
                </c:pt>
                <c:pt idx="14">
                  <c:v>116335.2238</c:v>
                </c:pt>
                <c:pt idx="15">
                  <c:v>164216.244</c:v>
                </c:pt>
                <c:pt idx="16">
                  <c:v>148522.5128</c:v>
                </c:pt>
                <c:pt idx="17">
                  <c:v>157508.1924</c:v>
                </c:pt>
                <c:pt idx="18">
                  <c:v>160107.912900001</c:v>
                </c:pt>
                <c:pt idx="19">
                  <c:v>178212.693600001</c:v>
                </c:pt>
                <c:pt idx="20">
                  <c:v>187139.999999999</c:v>
                </c:pt>
                <c:pt idx="21">
                  <c:v>167130</c:v>
                </c:pt>
                <c:pt idx="22">
                  <c:v>174785.000000001</c:v>
                </c:pt>
                <c:pt idx="23">
                  <c:v>181974.000000001</c:v>
                </c:pt>
                <c:pt idx="24">
                  <c:v>184395.800999999</c:v>
                </c:pt>
                <c:pt idx="25">
                  <c:v>132944.3425</c:v>
                </c:pt>
                <c:pt idx="26">
                  <c:v>150401.274400001</c:v>
                </c:pt>
                <c:pt idx="27">
                  <c:v>183705.503200001</c:v>
                </c:pt>
                <c:pt idx="28">
                  <c:v>179088.8514</c:v>
                </c:pt>
                <c:pt idx="29">
                  <c:v>189989.8727</c:v>
                </c:pt>
                <c:pt idx="30">
                  <c:v>186567.0797</c:v>
                </c:pt>
                <c:pt idx="31">
                  <c:v>197800.161</c:v>
                </c:pt>
                <c:pt idx="32">
                  <c:v>192547.001200001</c:v>
                </c:pt>
                <c:pt idx="33">
                  <c:v>176900.1587</c:v>
                </c:pt>
                <c:pt idx="34">
                  <c:v>191040.8231</c:v>
                </c:pt>
                <c:pt idx="35">
                  <c:v>194961.573400001</c:v>
                </c:pt>
                <c:pt idx="36">
                  <c:v>184333.405200001</c:v>
                </c:pt>
                <c:pt idx="37">
                  <c:v>102082.0045</c:v>
                </c:pt>
                <c:pt idx="38">
                  <c:v>127290.6116</c:v>
                </c:pt>
                <c:pt idx="39">
                  <c:v>186757.959200001</c:v>
                </c:pt>
                <c:pt idx="40">
                  <c:v>188978.6577</c:v>
                </c:pt>
                <c:pt idx="41">
                  <c:v>211977.5209</c:v>
                </c:pt>
                <c:pt idx="42">
                  <c:v>205694.038199999</c:v>
                </c:pt>
                <c:pt idx="43">
                  <c:v>217890.077799999</c:v>
                </c:pt>
                <c:pt idx="44">
                  <c:v>218830.8334</c:v>
                </c:pt>
                <c:pt idx="45">
                  <c:v>204268.9747</c:v>
                </c:pt>
                <c:pt idx="46">
                  <c:v>220637.1102</c:v>
                </c:pt>
                <c:pt idx="47">
                  <c:v>216093.648100001</c:v>
                </c:pt>
                <c:pt idx="48">
                  <c:v>227996.885900001</c:v>
                </c:pt>
                <c:pt idx="49">
                  <c:v>192511.8947</c:v>
                </c:pt>
                <c:pt idx="50">
                  <c:v>170107.8069</c:v>
                </c:pt>
                <c:pt idx="51">
                  <c:v>226200.367300001</c:v>
                </c:pt>
                <c:pt idx="52">
                  <c:v>213379.5378</c:v>
                </c:pt>
                <c:pt idx="53">
                  <c:v>235212.908200001</c:v>
                </c:pt>
                <c:pt idx="54">
                  <c:v>262163.4384</c:v>
                </c:pt>
                <c:pt idx="55">
                  <c:v>299506.222200001</c:v>
                </c:pt>
                <c:pt idx="56">
                  <c:v>239933.804299999</c:v>
                </c:pt>
                <c:pt idx="57">
                  <c:v>233171.793</c:v>
                </c:pt>
                <c:pt idx="58">
                  <c:v>237898.820400001</c:v>
                </c:pt>
                <c:pt idx="59">
                  <c:v>233025.978800001</c:v>
                </c:pt>
                <c:pt idx="60">
                  <c:v>222328.5974</c:v>
                </c:pt>
                <c:pt idx="61">
                  <c:v>184962.693499999</c:v>
                </c:pt>
                <c:pt idx="62">
                  <c:v>224206.291</c:v>
                </c:pt>
                <c:pt idx="63">
                  <c:v>243013.3225</c:v>
                </c:pt>
                <c:pt idx="64">
                  <c:v>237041.596699998</c:v>
                </c:pt>
                <c:pt idx="65">
                  <c:v>251718.673499998</c:v>
                </c:pt>
                <c:pt idx="66">
                  <c:v>236025.184900001</c:v>
                </c:pt>
                <c:pt idx="67">
                  <c:v>198824.593799999</c:v>
                </c:pt>
                <c:pt idx="68">
                  <c:v>229236.873999999</c:v>
                </c:pt>
                <c:pt idx="69">
                  <c:v>240093.636</c:v>
                </c:pt>
                <c:pt idx="70">
                  <c:v>253867.752000002</c:v>
                </c:pt>
                <c:pt idx="71">
                  <c:v>237706.886300001</c:v>
                </c:pt>
                <c:pt idx="72">
                  <c:v>204096.539</c:v>
                </c:pt>
                <c:pt idx="73">
                  <c:v>233029.4992</c:v>
                </c:pt>
                <c:pt idx="74">
                  <c:v>241712.1144</c:v>
                </c:pt>
                <c:pt idx="75">
                  <c:v>261075.120300001</c:v>
                </c:pt>
                <c:pt idx="76">
                  <c:v>269580.435699999</c:v>
                </c:pt>
                <c:pt idx="77">
                  <c:v>265343.6494</c:v>
                </c:pt>
                <c:pt idx="78">
                  <c:v>275166.116700001</c:v>
                </c:pt>
                <c:pt idx="79">
                  <c:v>281367.613299999</c:v>
                </c:pt>
                <c:pt idx="80">
                  <c:v>272354.9556</c:v>
                </c:pt>
                <c:pt idx="81">
                  <c:v>253800.825800001</c:v>
                </c:pt>
                <c:pt idx="82">
                  <c:v>265840.977999999</c:v>
                </c:pt>
                <c:pt idx="83">
                  <c:v>273502.6755</c:v>
                </c:pt>
                <c:pt idx="84">
                  <c:v>263694.170505362</c:v>
                </c:pt>
                <c:pt idx="85">
                  <c:v>216274.302228464</c:v>
                </c:pt>
                <c:pt idx="86">
                  <c:v>208228.832710249</c:v>
                </c:pt>
                <c:pt idx="87">
                  <c:v>265008.875196706</c:v>
                </c:pt>
                <c:pt idx="88">
                  <c:v>261911.905084106</c:v>
                </c:pt>
                <c:pt idx="89">
                  <c:v>276158.837285658</c:v>
                </c:pt>
                <c:pt idx="90">
                  <c:v>280585.566897825</c:v>
                </c:pt>
                <c:pt idx="91">
                  <c:v>287399.873650977</c:v>
                </c:pt>
                <c:pt idx="92">
                  <c:v>270764.894695742</c:v>
                </c:pt>
                <c:pt idx="93">
                  <c:v>260065.490332929</c:v>
                </c:pt>
                <c:pt idx="94">
                  <c:v>270353.579926631</c:v>
                </c:pt>
                <c:pt idx="95">
                  <c:v>264832.050989502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大工业!$F$1</c:f>
              <c:strCache>
                <c:ptCount val="1"/>
                <c:pt idx="0">
                  <c:v>历史售电量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大工业!$A$2:$A$97</c:f>
              <c:strCache>
                <c:ptCount val="96"/>
                <c:pt idx="0" c:formatCode="yyyy&quot;年&quot;m&quot;月&quot;;@">
                  <c:v>2017年1月</c:v>
                </c:pt>
                <c:pt idx="1" c:formatCode="yyyy&quot;年&quot;m&quot;月&quot;;@">
                  <c:v>2017年2月</c:v>
                </c:pt>
                <c:pt idx="2" c:formatCode="yyyy&quot;年&quot;m&quot;月&quot;;@">
                  <c:v>2017年3月</c:v>
                </c:pt>
                <c:pt idx="3" c:formatCode="yyyy&quot;年&quot;m&quot;月&quot;;@">
                  <c:v>2017年4月</c:v>
                </c:pt>
                <c:pt idx="4" c:formatCode="yyyy&quot;年&quot;m&quot;月&quot;;@">
                  <c:v>2017年5月</c:v>
                </c:pt>
                <c:pt idx="5" c:formatCode="yyyy&quot;年&quot;m&quot;月&quot;;@">
                  <c:v>2017年6月</c:v>
                </c:pt>
                <c:pt idx="6" c:formatCode="yyyy&quot;年&quot;m&quot;月&quot;;@">
                  <c:v>2017年7月</c:v>
                </c:pt>
                <c:pt idx="7" c:formatCode="yyyy&quot;年&quot;m&quot;月&quot;;@">
                  <c:v>2017年8月</c:v>
                </c:pt>
                <c:pt idx="8" c:formatCode="yyyy&quot;年&quot;m&quot;月&quot;;@">
                  <c:v>2017年9月</c:v>
                </c:pt>
                <c:pt idx="9" c:formatCode="yyyy&quot;年&quot;m&quot;月&quot;;@">
                  <c:v>2017年10月</c:v>
                </c:pt>
                <c:pt idx="10" c:formatCode="yyyy&quot;年&quot;m&quot;月&quot;;@">
                  <c:v>2017年11月</c:v>
                </c:pt>
                <c:pt idx="11" c:formatCode="yyyy&quot;年&quot;m&quot;月&quot;;@">
                  <c:v>2017年12月</c:v>
                </c:pt>
                <c:pt idx="12" c:formatCode="yyyy&quot;年&quot;m&quot;月&quot;;@">
                  <c:v>2018年1月</c:v>
                </c:pt>
                <c:pt idx="13" c:formatCode="yyyy&quot;年&quot;m&quot;月&quot;;@">
                  <c:v>2018年2月</c:v>
                </c:pt>
                <c:pt idx="14" c:formatCode="yyyy&quot;年&quot;m&quot;月&quot;;@">
                  <c:v>2018年3月</c:v>
                </c:pt>
                <c:pt idx="15" c:formatCode="yyyy&quot;年&quot;m&quot;月&quot;;@">
                  <c:v>2018年4月</c:v>
                </c:pt>
                <c:pt idx="16" c:formatCode="yyyy&quot;年&quot;m&quot;月&quot;;@">
                  <c:v>2018年5月</c:v>
                </c:pt>
                <c:pt idx="17" c:formatCode="yyyy&quot;年&quot;m&quot;月&quot;;@">
                  <c:v>2018年6月</c:v>
                </c:pt>
                <c:pt idx="18" c:formatCode="yyyy&quot;年&quot;m&quot;月&quot;;@">
                  <c:v>2018年7月</c:v>
                </c:pt>
                <c:pt idx="19" c:formatCode="yyyy&quot;年&quot;m&quot;月&quot;;@">
                  <c:v>2018年8月</c:v>
                </c:pt>
                <c:pt idx="20" c:formatCode="yyyy&quot;年&quot;m&quot;月&quot;;@">
                  <c:v>2018年9月</c:v>
                </c:pt>
                <c:pt idx="21" c:formatCode="yyyy&quot;年&quot;m&quot;月&quot;;@">
                  <c:v>2018年10月</c:v>
                </c:pt>
                <c:pt idx="22" c:formatCode="yyyy&quot;年&quot;m&quot;月&quot;;@">
                  <c:v>2018年11月</c:v>
                </c:pt>
                <c:pt idx="23" c:formatCode="yyyy&quot;年&quot;m&quot;月&quot;;@">
                  <c:v>2018年12月</c:v>
                </c:pt>
                <c:pt idx="24" c:formatCode="yyyy&quot;年&quot;m&quot;月&quot;;@">
                  <c:v>2019年1月</c:v>
                </c:pt>
                <c:pt idx="25" c:formatCode="yyyy&quot;年&quot;m&quot;月&quot;;@">
                  <c:v>2019年2月</c:v>
                </c:pt>
                <c:pt idx="26" c:formatCode="yyyy&quot;年&quot;m&quot;月&quot;;@">
                  <c:v>2019年3月</c:v>
                </c:pt>
                <c:pt idx="27" c:formatCode="yyyy&quot;年&quot;m&quot;月&quot;;@">
                  <c:v>2019年4月</c:v>
                </c:pt>
                <c:pt idx="28" c:formatCode="yyyy&quot;年&quot;m&quot;月&quot;;@">
                  <c:v>2019年5月</c:v>
                </c:pt>
                <c:pt idx="29" c:formatCode="yyyy&quot;年&quot;m&quot;月&quot;;@">
                  <c:v>2019年6月</c:v>
                </c:pt>
                <c:pt idx="30" c:formatCode="yyyy&quot;年&quot;m&quot;月&quot;;@">
                  <c:v>2019年7月</c:v>
                </c:pt>
                <c:pt idx="31" c:formatCode="yyyy&quot;年&quot;m&quot;月&quot;;@">
                  <c:v>2019年8月</c:v>
                </c:pt>
                <c:pt idx="32" c:formatCode="yyyy&quot;年&quot;m&quot;月&quot;;@">
                  <c:v>2019年9月</c:v>
                </c:pt>
                <c:pt idx="33" c:formatCode="yyyy&quot;年&quot;m&quot;月&quot;;@">
                  <c:v>2019年10月</c:v>
                </c:pt>
                <c:pt idx="34" c:formatCode="yyyy&quot;年&quot;m&quot;月&quot;;@">
                  <c:v>2019年11月</c:v>
                </c:pt>
                <c:pt idx="35" c:formatCode="yyyy&quot;年&quot;m&quot;月&quot;;@">
                  <c:v>2019年12月</c:v>
                </c:pt>
                <c:pt idx="36" c:formatCode="yyyy&quot;年&quot;m&quot;月&quot;;@">
                  <c:v>2020年1月</c:v>
                </c:pt>
                <c:pt idx="37" c:formatCode="yyyy&quot;年&quot;m&quot;月&quot;;@">
                  <c:v>2020年2月</c:v>
                </c:pt>
                <c:pt idx="38" c:formatCode="yyyy&quot;年&quot;m&quot;月&quot;;@">
                  <c:v>2020年3月</c:v>
                </c:pt>
                <c:pt idx="39" c:formatCode="yyyy&quot;年&quot;m&quot;月&quot;;@">
                  <c:v>2020年4月</c:v>
                </c:pt>
                <c:pt idx="40" c:formatCode="yyyy&quot;年&quot;m&quot;月&quot;;@">
                  <c:v>2020年5月</c:v>
                </c:pt>
                <c:pt idx="41" c:formatCode="yyyy&quot;年&quot;m&quot;月&quot;;@">
                  <c:v>2020年6月</c:v>
                </c:pt>
                <c:pt idx="42" c:formatCode="yyyy&quot;年&quot;m&quot;月&quot;;@">
                  <c:v>2020年7月</c:v>
                </c:pt>
                <c:pt idx="43" c:formatCode="yyyy&quot;年&quot;m&quot;月&quot;;@">
                  <c:v>2020年8月</c:v>
                </c:pt>
                <c:pt idx="44" c:formatCode="yyyy&quot;年&quot;m&quot;月&quot;;@">
                  <c:v>2020年9月</c:v>
                </c:pt>
                <c:pt idx="45" c:formatCode="yyyy&quot;年&quot;m&quot;月&quot;;@">
                  <c:v>2020年10月</c:v>
                </c:pt>
                <c:pt idx="46" c:formatCode="yyyy&quot;年&quot;m&quot;月&quot;;@">
                  <c:v>2020年11月</c:v>
                </c:pt>
                <c:pt idx="47" c:formatCode="yyyy&quot;年&quot;m&quot;月&quot;;@">
                  <c:v>2020年12月</c:v>
                </c:pt>
                <c:pt idx="48" c:formatCode="yyyy&quot;年&quot;m&quot;月&quot;;@">
                  <c:v>2021年1月</c:v>
                </c:pt>
                <c:pt idx="49" c:formatCode="yyyy&quot;年&quot;m&quot;月&quot;;@">
                  <c:v>2021年2月</c:v>
                </c:pt>
                <c:pt idx="50" c:formatCode="yyyy&quot;年&quot;m&quot;月&quot;;@">
                  <c:v>2021年3月</c:v>
                </c:pt>
                <c:pt idx="51" c:formatCode="yyyy&quot;年&quot;m&quot;月&quot;;@">
                  <c:v>2021年4月</c:v>
                </c:pt>
                <c:pt idx="52" c:formatCode="yyyy&quot;年&quot;m&quot;月&quot;;@">
                  <c:v>2021年5月</c:v>
                </c:pt>
                <c:pt idx="53" c:formatCode="yyyy&quot;年&quot;m&quot;月&quot;;@">
                  <c:v>2021年6月</c:v>
                </c:pt>
                <c:pt idx="54" c:formatCode="yyyy&quot;年&quot;m&quot;月&quot;;@">
                  <c:v>2021年7月</c:v>
                </c:pt>
                <c:pt idx="55" c:formatCode="yyyy&quot;年&quot;m&quot;月&quot;;@">
                  <c:v>2021年8月</c:v>
                </c:pt>
                <c:pt idx="56" c:formatCode="yyyy&quot;年&quot;m&quot;月&quot;;@">
                  <c:v>2021年9月</c:v>
                </c:pt>
                <c:pt idx="57" c:formatCode="yyyy&quot;年&quot;m&quot;月&quot;;@">
                  <c:v>2021年10月</c:v>
                </c:pt>
                <c:pt idx="58" c:formatCode="yyyy&quot;年&quot;m&quot;月&quot;;@">
                  <c:v>2021年11月</c:v>
                </c:pt>
                <c:pt idx="59" c:formatCode="yyyy&quot;年&quot;m&quot;月&quot;;@">
                  <c:v>2021年12月</c:v>
                </c:pt>
                <c:pt idx="60" c:formatCode="yyyy&quot;年&quot;m&quot;月&quot;;@">
                  <c:v>2022年1月</c:v>
                </c:pt>
                <c:pt idx="61" c:formatCode="yyyy&quot;年&quot;m&quot;月&quot;;@">
                  <c:v>2022年2月</c:v>
                </c:pt>
                <c:pt idx="62" c:formatCode="yyyy&quot;年&quot;m&quot;月&quot;;@">
                  <c:v>2022年3月</c:v>
                </c:pt>
                <c:pt idx="63" c:formatCode="yyyy&quot;年&quot;m&quot;月&quot;;@">
                  <c:v>2022年4月</c:v>
                </c:pt>
                <c:pt idx="64" c:formatCode="yyyy&quot;年&quot;m&quot;月&quot;;@">
                  <c:v>2022年5月</c:v>
                </c:pt>
                <c:pt idx="65" c:formatCode="yyyy&quot;年&quot;m&quot;月&quot;;@">
                  <c:v>2022年6月</c:v>
                </c:pt>
                <c:pt idx="66" c:formatCode="yyyy&quot;年&quot;m&quot;月&quot;;@">
                  <c:v>2022年7月</c:v>
                </c:pt>
                <c:pt idx="67" c:formatCode="yyyy&quot;年&quot;m&quot;月&quot;;@">
                  <c:v>2022年8月</c:v>
                </c:pt>
                <c:pt idx="68" c:formatCode="yyyy&quot;年&quot;m&quot;月&quot;;@">
                  <c:v>2022年9月</c:v>
                </c:pt>
                <c:pt idx="69" c:formatCode="yyyy&quot;年&quot;m&quot;月&quot;;@">
                  <c:v>2022年10月</c:v>
                </c:pt>
                <c:pt idx="70" c:formatCode="yyyy&quot;年&quot;m&quot;月&quot;;@">
                  <c:v>2022年11月</c:v>
                </c:pt>
                <c:pt idx="71" c:formatCode="yyyy&quot;年&quot;m&quot;月&quot;;@">
                  <c:v>2022年12月</c:v>
                </c:pt>
                <c:pt idx="72" c:formatCode="yyyy&quot;年&quot;m&quot;月&quot;;@">
                  <c:v>2023年1月</c:v>
                </c:pt>
                <c:pt idx="73" c:formatCode="yyyy&quot;年&quot;m&quot;月&quot;;@">
                  <c:v>2023年2月</c:v>
                </c:pt>
                <c:pt idx="74" c:formatCode="yyyy&quot;年&quot;m&quot;月&quot;;@">
                  <c:v>2023年3月</c:v>
                </c:pt>
                <c:pt idx="75" c:formatCode="yyyy&quot;年&quot;m&quot;月&quot;;@">
                  <c:v>2023年4月</c:v>
                </c:pt>
                <c:pt idx="76" c:formatCode="yyyy&quot;年&quot;m&quot;月&quot;;@">
                  <c:v>2023年5月</c:v>
                </c:pt>
                <c:pt idx="77" c:formatCode="yyyy&quot;年&quot;m&quot;月&quot;;@">
                  <c:v>2023年6月</c:v>
                </c:pt>
                <c:pt idx="78" c:formatCode="yyyy&quot;年&quot;m&quot;月&quot;;@">
                  <c:v>2023年7月</c:v>
                </c:pt>
                <c:pt idx="79" c:formatCode="yyyy&quot;年&quot;m&quot;月&quot;;@">
                  <c:v>2023年8月</c:v>
                </c:pt>
                <c:pt idx="80" c:formatCode="yyyy&quot;年&quot;m&quot;月&quot;;@">
                  <c:v>2023年9月</c:v>
                </c:pt>
                <c:pt idx="81" c:formatCode="yyyy&quot;年&quot;m&quot;月&quot;;@">
                  <c:v>2023年10月</c:v>
                </c:pt>
                <c:pt idx="82" c:formatCode="yyyy&quot;年&quot;m&quot;月&quot;;@">
                  <c:v>2023年11月</c:v>
                </c:pt>
                <c:pt idx="83" c:formatCode="yyyy&quot;年&quot;m&quot;月&quot;;@">
                  <c:v>2023年12月</c:v>
                </c:pt>
                <c:pt idx="84">
                  <c:v>2024/1月</c:v>
                </c:pt>
                <c:pt idx="85">
                  <c:v>2024/2月</c:v>
                </c:pt>
                <c:pt idx="86">
                  <c:v>2024/3月</c:v>
                </c:pt>
                <c:pt idx="87">
                  <c:v>2024/4月</c:v>
                </c:pt>
                <c:pt idx="88">
                  <c:v>2024/5月</c:v>
                </c:pt>
                <c:pt idx="89">
                  <c:v>2024/6月</c:v>
                </c:pt>
                <c:pt idx="90">
                  <c:v>2024/7月</c:v>
                </c:pt>
                <c:pt idx="91">
                  <c:v>2024/8月</c:v>
                </c:pt>
                <c:pt idx="92">
                  <c:v>2024/9月</c:v>
                </c:pt>
                <c:pt idx="93">
                  <c:v>2024/10月</c:v>
                </c:pt>
                <c:pt idx="94">
                  <c:v>2024/11月</c:v>
                </c:pt>
                <c:pt idx="95">
                  <c:v>2024/12月</c:v>
                </c:pt>
              </c:strCache>
            </c:strRef>
          </c:cat>
          <c:val>
            <c:numRef>
              <c:f>大工业!$F$2:$F$97</c:f>
              <c:numCache>
                <c:formatCode>0.0000_);[Red]\(0.0000\)</c:formatCode>
                <c:ptCount val="96"/>
                <c:pt idx="0">
                  <c:v>144710.7303</c:v>
                </c:pt>
                <c:pt idx="1">
                  <c:v>105515.7564</c:v>
                </c:pt>
                <c:pt idx="2">
                  <c:v>129305.1441</c:v>
                </c:pt>
                <c:pt idx="3">
                  <c:v>147732.5171</c:v>
                </c:pt>
                <c:pt idx="4">
                  <c:v>142396.0015</c:v>
                </c:pt>
                <c:pt idx="5">
                  <c:v>153729.3926</c:v>
                </c:pt>
                <c:pt idx="6">
                  <c:v>151946</c:v>
                </c:pt>
                <c:pt idx="7">
                  <c:v>153389</c:v>
                </c:pt>
                <c:pt idx="8">
                  <c:v>141842</c:v>
                </c:pt>
                <c:pt idx="9">
                  <c:v>147797</c:v>
                </c:pt>
                <c:pt idx="10">
                  <c:v>161625</c:v>
                </c:pt>
                <c:pt idx="11">
                  <c:v>163415</c:v>
                </c:pt>
                <c:pt idx="12">
                  <c:v>163673.9217</c:v>
                </c:pt>
                <c:pt idx="13">
                  <c:v>150168.7271</c:v>
                </c:pt>
                <c:pt idx="14">
                  <c:v>116335.2238</c:v>
                </c:pt>
                <c:pt idx="15">
                  <c:v>164216.244</c:v>
                </c:pt>
                <c:pt idx="16">
                  <c:v>148522.5128</c:v>
                </c:pt>
                <c:pt idx="17">
                  <c:v>157508.1924</c:v>
                </c:pt>
                <c:pt idx="18">
                  <c:v>160107.9129</c:v>
                </c:pt>
                <c:pt idx="19">
                  <c:v>178212.6936</c:v>
                </c:pt>
                <c:pt idx="20">
                  <c:v>187140</c:v>
                </c:pt>
                <c:pt idx="21">
                  <c:v>167130</c:v>
                </c:pt>
                <c:pt idx="22">
                  <c:v>174785</c:v>
                </c:pt>
                <c:pt idx="23">
                  <c:v>181974</c:v>
                </c:pt>
                <c:pt idx="24">
                  <c:v>184395.801</c:v>
                </c:pt>
                <c:pt idx="25">
                  <c:v>132944.3425</c:v>
                </c:pt>
                <c:pt idx="26">
                  <c:v>150401.2744</c:v>
                </c:pt>
                <c:pt idx="27">
                  <c:v>183705.5032</c:v>
                </c:pt>
                <c:pt idx="28">
                  <c:v>179088.8514</c:v>
                </c:pt>
                <c:pt idx="29">
                  <c:v>189989.8727</c:v>
                </c:pt>
                <c:pt idx="30">
                  <c:v>186567.0797</c:v>
                </c:pt>
                <c:pt idx="31">
                  <c:v>197800.161</c:v>
                </c:pt>
                <c:pt idx="32">
                  <c:v>192547.0012</c:v>
                </c:pt>
                <c:pt idx="33">
                  <c:v>176900.1587</c:v>
                </c:pt>
                <c:pt idx="34">
                  <c:v>191040.8231</c:v>
                </c:pt>
                <c:pt idx="35">
                  <c:v>194961.5734</c:v>
                </c:pt>
                <c:pt idx="36">
                  <c:v>184333.4052</c:v>
                </c:pt>
                <c:pt idx="37">
                  <c:v>102082.0045</c:v>
                </c:pt>
                <c:pt idx="38">
                  <c:v>127290.6116</c:v>
                </c:pt>
                <c:pt idx="39">
                  <c:v>186757.9592</c:v>
                </c:pt>
                <c:pt idx="40">
                  <c:v>188978.6577</c:v>
                </c:pt>
                <c:pt idx="41">
                  <c:v>211977.5209</c:v>
                </c:pt>
                <c:pt idx="42">
                  <c:v>205694.0382</c:v>
                </c:pt>
                <c:pt idx="43">
                  <c:v>217890.0778</c:v>
                </c:pt>
                <c:pt idx="44">
                  <c:v>218830.8334</c:v>
                </c:pt>
                <c:pt idx="45">
                  <c:v>204268.9747</c:v>
                </c:pt>
                <c:pt idx="46">
                  <c:v>220637.1102</c:v>
                </c:pt>
                <c:pt idx="47">
                  <c:v>216093.6481</c:v>
                </c:pt>
                <c:pt idx="48" c:formatCode="General">
                  <c:v>227996.8859</c:v>
                </c:pt>
                <c:pt idx="49" c:formatCode="General">
                  <c:v>192511.8947</c:v>
                </c:pt>
                <c:pt idx="50" c:formatCode="General">
                  <c:v>170107.8069</c:v>
                </c:pt>
                <c:pt idx="51" c:formatCode="General">
                  <c:v>226200.3673</c:v>
                </c:pt>
                <c:pt idx="52" c:formatCode="General">
                  <c:v>213379.5378</c:v>
                </c:pt>
                <c:pt idx="53" c:formatCode="General">
                  <c:v>235212.9082</c:v>
                </c:pt>
                <c:pt idx="54" c:formatCode="General">
                  <c:v>262163.4384</c:v>
                </c:pt>
                <c:pt idx="55" c:formatCode="General">
                  <c:v>299506.2222</c:v>
                </c:pt>
                <c:pt idx="56" c:formatCode="General">
                  <c:v>239933.8043</c:v>
                </c:pt>
                <c:pt idx="57" c:formatCode="General">
                  <c:v>233171.793</c:v>
                </c:pt>
                <c:pt idx="58" c:formatCode="General">
                  <c:v>237898.8204</c:v>
                </c:pt>
                <c:pt idx="59" c:formatCode="General">
                  <c:v>233025.9788</c:v>
                </c:pt>
                <c:pt idx="60" c:formatCode="General">
                  <c:v>222328.5974</c:v>
                </c:pt>
                <c:pt idx="61" c:formatCode="General">
                  <c:v>184962.6935</c:v>
                </c:pt>
                <c:pt idx="62" c:formatCode="General">
                  <c:v>224206.291</c:v>
                </c:pt>
                <c:pt idx="63" c:formatCode="General">
                  <c:v>243013.3225</c:v>
                </c:pt>
                <c:pt idx="64" c:formatCode="General">
                  <c:v>237041.5967</c:v>
                </c:pt>
                <c:pt idx="65" c:formatCode="General">
                  <c:v>251718.6735</c:v>
                </c:pt>
                <c:pt idx="66" c:formatCode="General">
                  <c:v>236025.1849</c:v>
                </c:pt>
                <c:pt idx="67" c:formatCode="General">
                  <c:v>198824.5938</c:v>
                </c:pt>
                <c:pt idx="68" c:formatCode="General">
                  <c:v>229236.874</c:v>
                </c:pt>
                <c:pt idx="69" c:formatCode="General">
                  <c:v>240093.636</c:v>
                </c:pt>
                <c:pt idx="70" c:formatCode="General">
                  <c:v>253867.752</c:v>
                </c:pt>
                <c:pt idx="71" c:formatCode="General">
                  <c:v>237706.8863</c:v>
                </c:pt>
                <c:pt idx="72" c:formatCode="General">
                  <c:v>204096.539</c:v>
                </c:pt>
                <c:pt idx="73" c:formatCode="General">
                  <c:v>233029.4992</c:v>
                </c:pt>
                <c:pt idx="74" c:formatCode="General">
                  <c:v>241712.1144</c:v>
                </c:pt>
                <c:pt idx="75" c:formatCode="General">
                  <c:v>261075.1203</c:v>
                </c:pt>
                <c:pt idx="76" c:formatCode="General">
                  <c:v>269580.4357</c:v>
                </c:pt>
                <c:pt idx="77" c:formatCode="General">
                  <c:v>265343.6494</c:v>
                </c:pt>
                <c:pt idx="78" c:formatCode="General">
                  <c:v>275166.1167</c:v>
                </c:pt>
                <c:pt idx="79" c:formatCode="General">
                  <c:v>281367.6133</c:v>
                </c:pt>
                <c:pt idx="80" c:formatCode="General">
                  <c:v>272354.9556</c:v>
                </c:pt>
                <c:pt idx="81" c:formatCode="General">
                  <c:v>253800.8258</c:v>
                </c:pt>
                <c:pt idx="82" c:formatCode="General">
                  <c:v>265840.978</c:v>
                </c:pt>
                <c:pt idx="83" c:formatCode="General">
                  <c:v>273502.6755</c:v>
                </c:pt>
                <c:pt idx="84" c:formatCode="General">
                  <c:v>274707.3389</c:v>
                </c:pt>
                <c:pt idx="85" c:formatCode="General">
                  <c:v>182262.2541</c:v>
                </c:pt>
                <c:pt idx="86" c:formatCode="General">
                  <c:v>274899.1143</c:v>
                </c:pt>
                <c:pt idx="87" c:formatCode="General">
                  <c:v>266819.725</c:v>
                </c:pt>
                <c:pt idx="88" c:formatCode="General">
                  <c:v>276196.3076</c:v>
                </c:pt>
                <c:pt idx="89" c:formatCode="General">
                  <c:v>274564.8031</c:v>
                </c:pt>
                <c:pt idx="90" c:formatCode="General">
                  <c:v>293242.3967</c:v>
                </c:pt>
                <c:pt idx="91" c:formatCode="General">
                  <c:v>290608.5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6312445"/>
        <c:axId val="699207408"/>
      </c:lineChart>
      <c:dateAx>
        <c:axId val="2063124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9207408"/>
        <c:crosses val="autoZero"/>
        <c:auto val="1"/>
        <c:lblAlgn val="ctr"/>
        <c:lblOffset val="100"/>
        <c:baseTimeUnit val="days"/>
      </c:dateAx>
      <c:valAx>
        <c:axId val="69920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3124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一般工商业及其他!$B$1</c:f>
              <c:strCache>
                <c:ptCount val="1"/>
                <c:pt idx="0">
                  <c:v>长期循环趋势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一般工商业及其他!$A$2:$A$61</c:f>
              <c:numCache>
                <c:formatCode>yyyy"年"m"月";@</c:formatCode>
                <c:ptCount val="60"/>
                <c:pt idx="0" c:formatCode="yyyy&quot;年&quot;m&quot;月&quot;;@">
                  <c:v>42736</c:v>
                </c:pt>
                <c:pt idx="1" c:formatCode="yyyy&quot;年&quot;m&quot;月&quot;;@">
                  <c:v>42767</c:v>
                </c:pt>
                <c:pt idx="2" c:formatCode="yyyy&quot;年&quot;m&quot;月&quot;;@">
                  <c:v>42795</c:v>
                </c:pt>
                <c:pt idx="3" c:formatCode="yyyy&quot;年&quot;m&quot;月&quot;;@">
                  <c:v>42826</c:v>
                </c:pt>
                <c:pt idx="4" c:formatCode="yyyy&quot;年&quot;m&quot;月&quot;;@">
                  <c:v>42856</c:v>
                </c:pt>
                <c:pt idx="5" c:formatCode="yyyy&quot;年&quot;m&quot;月&quot;;@">
                  <c:v>42887</c:v>
                </c:pt>
                <c:pt idx="6" c:formatCode="yyyy&quot;年&quot;m&quot;月&quot;;@">
                  <c:v>42917</c:v>
                </c:pt>
                <c:pt idx="7" c:formatCode="yyyy&quot;年&quot;m&quot;月&quot;;@">
                  <c:v>42948</c:v>
                </c:pt>
                <c:pt idx="8" c:formatCode="yyyy&quot;年&quot;m&quot;月&quot;;@">
                  <c:v>42979</c:v>
                </c:pt>
                <c:pt idx="9" c:formatCode="yyyy&quot;年&quot;m&quot;月&quot;;@">
                  <c:v>43009</c:v>
                </c:pt>
                <c:pt idx="10" c:formatCode="yyyy&quot;年&quot;m&quot;月&quot;;@">
                  <c:v>43040</c:v>
                </c:pt>
                <c:pt idx="11" c:formatCode="yyyy&quot;年&quot;m&quot;月&quot;;@">
                  <c:v>43070</c:v>
                </c:pt>
                <c:pt idx="12" c:formatCode="yyyy&quot;年&quot;m&quot;月&quot;;@">
                  <c:v>43101</c:v>
                </c:pt>
                <c:pt idx="13" c:formatCode="yyyy&quot;年&quot;m&quot;月&quot;;@">
                  <c:v>43132</c:v>
                </c:pt>
                <c:pt idx="14" c:formatCode="yyyy&quot;年&quot;m&quot;月&quot;;@">
                  <c:v>43160</c:v>
                </c:pt>
                <c:pt idx="15" c:formatCode="yyyy&quot;年&quot;m&quot;月&quot;;@">
                  <c:v>43191</c:v>
                </c:pt>
                <c:pt idx="16" c:formatCode="yyyy&quot;年&quot;m&quot;月&quot;;@">
                  <c:v>43221</c:v>
                </c:pt>
                <c:pt idx="17" c:formatCode="yyyy&quot;年&quot;m&quot;月&quot;;@">
                  <c:v>43252</c:v>
                </c:pt>
                <c:pt idx="18" c:formatCode="yyyy&quot;年&quot;m&quot;月&quot;;@">
                  <c:v>43282</c:v>
                </c:pt>
                <c:pt idx="19" c:formatCode="yyyy&quot;年&quot;m&quot;月&quot;;@">
                  <c:v>43313</c:v>
                </c:pt>
                <c:pt idx="20" c:formatCode="yyyy&quot;年&quot;m&quot;月&quot;;@">
                  <c:v>43344</c:v>
                </c:pt>
                <c:pt idx="21" c:formatCode="yyyy&quot;年&quot;m&quot;月&quot;;@">
                  <c:v>43374</c:v>
                </c:pt>
                <c:pt idx="22" c:formatCode="yyyy&quot;年&quot;m&quot;月&quot;;@">
                  <c:v>43405</c:v>
                </c:pt>
                <c:pt idx="23" c:formatCode="yyyy&quot;年&quot;m&quot;月&quot;;@">
                  <c:v>43435</c:v>
                </c:pt>
                <c:pt idx="24" c:formatCode="yyyy&quot;年&quot;m&quot;月&quot;;@">
                  <c:v>43466</c:v>
                </c:pt>
                <c:pt idx="25" c:formatCode="yyyy&quot;年&quot;m&quot;月&quot;;@">
                  <c:v>43497</c:v>
                </c:pt>
                <c:pt idx="26" c:formatCode="yyyy&quot;年&quot;m&quot;月&quot;;@">
                  <c:v>43525</c:v>
                </c:pt>
                <c:pt idx="27" c:formatCode="yyyy&quot;年&quot;m&quot;月&quot;;@">
                  <c:v>43556</c:v>
                </c:pt>
                <c:pt idx="28" c:formatCode="yyyy&quot;年&quot;m&quot;月&quot;;@">
                  <c:v>43586</c:v>
                </c:pt>
                <c:pt idx="29" c:formatCode="yyyy&quot;年&quot;m&quot;月&quot;;@">
                  <c:v>43617</c:v>
                </c:pt>
                <c:pt idx="30" c:formatCode="yyyy&quot;年&quot;m&quot;月&quot;;@">
                  <c:v>43647</c:v>
                </c:pt>
                <c:pt idx="31" c:formatCode="yyyy&quot;年&quot;m&quot;月&quot;;@">
                  <c:v>43678</c:v>
                </c:pt>
                <c:pt idx="32" c:formatCode="yyyy&quot;年&quot;m&quot;月&quot;;@">
                  <c:v>43709</c:v>
                </c:pt>
                <c:pt idx="33" c:formatCode="yyyy&quot;年&quot;m&quot;月&quot;;@">
                  <c:v>43739</c:v>
                </c:pt>
                <c:pt idx="34" c:formatCode="yyyy&quot;年&quot;m&quot;月&quot;;@">
                  <c:v>43770</c:v>
                </c:pt>
                <c:pt idx="35" c:formatCode="yyyy&quot;年&quot;m&quot;月&quot;;@">
                  <c:v>43800</c:v>
                </c:pt>
                <c:pt idx="36" c:formatCode="yyyy&quot;年&quot;m&quot;月&quot;;@">
                  <c:v>43831</c:v>
                </c:pt>
                <c:pt idx="37" c:formatCode="yyyy&quot;年&quot;m&quot;月&quot;;@">
                  <c:v>43862</c:v>
                </c:pt>
                <c:pt idx="38" c:formatCode="yyyy&quot;年&quot;m&quot;月&quot;;@">
                  <c:v>43891</c:v>
                </c:pt>
                <c:pt idx="39" c:formatCode="yyyy&quot;年&quot;m&quot;月&quot;;@">
                  <c:v>43922</c:v>
                </c:pt>
                <c:pt idx="40" c:formatCode="yyyy&quot;年&quot;m&quot;月&quot;;@">
                  <c:v>43952</c:v>
                </c:pt>
                <c:pt idx="41" c:formatCode="yyyy&quot;年&quot;m&quot;月&quot;;@">
                  <c:v>43983</c:v>
                </c:pt>
                <c:pt idx="42" c:formatCode="yyyy&quot;年&quot;m&quot;月&quot;;@">
                  <c:v>44013</c:v>
                </c:pt>
                <c:pt idx="43" c:formatCode="yyyy&quot;年&quot;m&quot;月&quot;;@">
                  <c:v>44044</c:v>
                </c:pt>
                <c:pt idx="44" c:formatCode="yyyy&quot;年&quot;m&quot;月&quot;;@">
                  <c:v>44075</c:v>
                </c:pt>
                <c:pt idx="45" c:formatCode="yyyy&quot;年&quot;m&quot;月&quot;;@">
                  <c:v>44105</c:v>
                </c:pt>
                <c:pt idx="46" c:formatCode="yyyy&quot;年&quot;m&quot;月&quot;;@">
                  <c:v>44136</c:v>
                </c:pt>
                <c:pt idx="47" c:formatCode="yyyy&quot;年&quot;m&quot;月&quot;;@">
                  <c:v>44166</c:v>
                </c:pt>
                <c:pt idx="48" c:formatCode="yyyy&quot;年&quot;m&quot;月&quot;;@">
                  <c:v>44197</c:v>
                </c:pt>
                <c:pt idx="49" c:formatCode="yyyy&quot;年&quot;m&quot;月&quot;;@">
                  <c:v>44228</c:v>
                </c:pt>
                <c:pt idx="50" c:formatCode="yyyy&quot;年&quot;m&quot;月&quot;;@">
                  <c:v>44256</c:v>
                </c:pt>
                <c:pt idx="51" c:formatCode="yyyy&quot;年&quot;m&quot;月&quot;;@">
                  <c:v>44287</c:v>
                </c:pt>
                <c:pt idx="52" c:formatCode="yyyy&quot;年&quot;m&quot;月&quot;;@">
                  <c:v>44317</c:v>
                </c:pt>
                <c:pt idx="53" c:formatCode="yyyy&quot;年&quot;m&quot;月&quot;;@">
                  <c:v>44348</c:v>
                </c:pt>
                <c:pt idx="54" c:formatCode="yyyy&quot;年&quot;m&quot;月&quot;;@">
                  <c:v>44378</c:v>
                </c:pt>
                <c:pt idx="55" c:formatCode="yyyy&quot;年&quot;m&quot;月&quot;;@">
                  <c:v>44409</c:v>
                </c:pt>
                <c:pt idx="56" c:formatCode="yyyy&quot;年&quot;m&quot;月&quot;;@">
                  <c:v>44440</c:v>
                </c:pt>
                <c:pt idx="57" c:formatCode="yyyy&quot;年&quot;m&quot;月&quot;;@">
                  <c:v>44470</c:v>
                </c:pt>
                <c:pt idx="58" c:formatCode="yyyy&quot;年&quot;m&quot;月&quot;;@">
                  <c:v>44501</c:v>
                </c:pt>
                <c:pt idx="59" c:formatCode="yyyy&quot;年&quot;m&quot;月&quot;;@">
                  <c:v>44531</c:v>
                </c:pt>
              </c:numCache>
            </c:numRef>
          </c:cat>
          <c:val>
            <c:numRef>
              <c:f>一般工商业及其他!$B$2:$B$61</c:f>
              <c:numCache>
                <c:formatCode>General</c:formatCode>
                <c:ptCount val="60"/>
                <c:pt idx="0">
                  <c:v>109698.014787058</c:v>
                </c:pt>
                <c:pt idx="1">
                  <c:v>111879.567878201</c:v>
                </c:pt>
                <c:pt idx="2">
                  <c:v>114455.627098644</c:v>
                </c:pt>
                <c:pt idx="3">
                  <c:v>116533.980572799</c:v>
                </c:pt>
                <c:pt idx="4">
                  <c:v>117917.111974903</c:v>
                </c:pt>
                <c:pt idx="5">
                  <c:v>118600.0151077</c:v>
                </c:pt>
                <c:pt idx="6">
                  <c:v>118587.00226222</c:v>
                </c:pt>
                <c:pt idx="7">
                  <c:v>118116.139619762</c:v>
                </c:pt>
                <c:pt idx="8">
                  <c:v>117783.033098841</c:v>
                </c:pt>
                <c:pt idx="9">
                  <c:v>117550.223546734</c:v>
                </c:pt>
                <c:pt idx="10">
                  <c:v>117348.052920354</c:v>
                </c:pt>
                <c:pt idx="11">
                  <c:v>117333.957433864</c:v>
                </c:pt>
                <c:pt idx="12">
                  <c:v>118028.028026295</c:v>
                </c:pt>
                <c:pt idx="13">
                  <c:v>119342.973911764</c:v>
                </c:pt>
                <c:pt idx="14">
                  <c:v>120887.342048779</c:v>
                </c:pt>
                <c:pt idx="15">
                  <c:v>122313.884024867</c:v>
                </c:pt>
                <c:pt idx="16">
                  <c:v>123560.548899201</c:v>
                </c:pt>
                <c:pt idx="17">
                  <c:v>124213.388965159</c:v>
                </c:pt>
                <c:pt idx="18">
                  <c:v>124310.593749801</c:v>
                </c:pt>
                <c:pt idx="19">
                  <c:v>124211.117203467</c:v>
                </c:pt>
                <c:pt idx="20">
                  <c:v>124267.397014945</c:v>
                </c:pt>
                <c:pt idx="21">
                  <c:v>125440.323457014</c:v>
                </c:pt>
                <c:pt idx="22">
                  <c:v>128303.601773795</c:v>
                </c:pt>
                <c:pt idx="23">
                  <c:v>132615.36391437</c:v>
                </c:pt>
                <c:pt idx="24">
                  <c:v>137299.89210043</c:v>
                </c:pt>
                <c:pt idx="25">
                  <c:v>140975.018599415</c:v>
                </c:pt>
                <c:pt idx="26">
                  <c:v>142240.498740463</c:v>
                </c:pt>
                <c:pt idx="27">
                  <c:v>140990.170059723</c:v>
                </c:pt>
                <c:pt idx="28">
                  <c:v>138152.035593192</c:v>
                </c:pt>
                <c:pt idx="29">
                  <c:v>135257.35103785</c:v>
                </c:pt>
                <c:pt idx="30">
                  <c:v>133818.593330481</c:v>
                </c:pt>
                <c:pt idx="31">
                  <c:v>134699.947563654</c:v>
                </c:pt>
                <c:pt idx="32">
                  <c:v>137031.371390322</c:v>
                </c:pt>
                <c:pt idx="33">
                  <c:v>139141.735330065</c:v>
                </c:pt>
                <c:pt idx="34">
                  <c:v>139315.339221628</c:v>
                </c:pt>
                <c:pt idx="35">
                  <c:v>137181.978879275</c:v>
                </c:pt>
                <c:pt idx="36">
                  <c:v>133801.30209394</c:v>
                </c:pt>
                <c:pt idx="37">
                  <c:v>131123.002466411</c:v>
                </c:pt>
                <c:pt idx="38">
                  <c:v>130219.883988306</c:v>
                </c:pt>
                <c:pt idx="39">
                  <c:v>131647.580267026</c:v>
                </c:pt>
                <c:pt idx="40">
                  <c:v>134952.533780893</c:v>
                </c:pt>
                <c:pt idx="41">
                  <c:v>139437.37541854</c:v>
                </c:pt>
                <c:pt idx="42">
                  <c:v>143693.519286398</c:v>
                </c:pt>
                <c:pt idx="43">
                  <c:v>146811.163209327</c:v>
                </c:pt>
                <c:pt idx="44">
                  <c:v>149568.531349365</c:v>
                </c:pt>
                <c:pt idx="45">
                  <c:v>152394.733837657</c:v>
                </c:pt>
                <c:pt idx="46">
                  <c:v>155313.710647701</c:v>
                </c:pt>
                <c:pt idx="47">
                  <c:v>158091.798378105</c:v>
                </c:pt>
                <c:pt idx="48">
                  <c:v>159879.11486422</c:v>
                </c:pt>
                <c:pt idx="49">
                  <c:v>160298.956458</c:v>
                </c:pt>
                <c:pt idx="50">
                  <c:v>160501.249078828</c:v>
                </c:pt>
                <c:pt idx="51">
                  <c:v>160830.879325427</c:v>
                </c:pt>
                <c:pt idx="52">
                  <c:v>161925.200181672</c:v>
                </c:pt>
                <c:pt idx="53">
                  <c:v>164634.900926896</c:v>
                </c:pt>
                <c:pt idx="54">
                  <c:v>168707.526852977</c:v>
                </c:pt>
                <c:pt idx="55">
                  <c:v>172861.526989086</c:v>
                </c:pt>
                <c:pt idx="56">
                  <c:v>175440.518073212</c:v>
                </c:pt>
                <c:pt idx="57">
                  <c:v>176161.33844099</c:v>
                </c:pt>
                <c:pt idx="58">
                  <c:v>175783.413518778</c:v>
                </c:pt>
                <c:pt idx="59">
                  <c:v>174634.97422496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021801"/>
        <c:axId val="624955683"/>
      </c:lineChart>
      <c:dateAx>
        <c:axId val="280218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4955683"/>
        <c:crosses val="autoZero"/>
        <c:auto val="1"/>
        <c:lblOffset val="100"/>
        <c:baseTimeUnit val="months"/>
      </c:dateAx>
      <c:valAx>
        <c:axId val="6249556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0218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售电量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一般工商业及其他!$E$1</c:f>
              <c:strCache>
                <c:ptCount val="1"/>
                <c:pt idx="0">
                  <c:v>售电量预测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一般工商业及其他!$A$2:$A$97</c:f>
              <c:strCache>
                <c:ptCount val="96"/>
                <c:pt idx="0" c:formatCode="yyyy&quot;年&quot;m&quot;月&quot;;@">
                  <c:v>2017年1月</c:v>
                </c:pt>
                <c:pt idx="1" c:formatCode="yyyy&quot;年&quot;m&quot;月&quot;;@">
                  <c:v>2017年2月</c:v>
                </c:pt>
                <c:pt idx="2" c:formatCode="yyyy&quot;年&quot;m&quot;月&quot;;@">
                  <c:v>2017年3月</c:v>
                </c:pt>
                <c:pt idx="3" c:formatCode="yyyy&quot;年&quot;m&quot;月&quot;;@">
                  <c:v>2017年4月</c:v>
                </c:pt>
                <c:pt idx="4" c:formatCode="yyyy&quot;年&quot;m&quot;月&quot;;@">
                  <c:v>2017年5月</c:v>
                </c:pt>
                <c:pt idx="5" c:formatCode="yyyy&quot;年&quot;m&quot;月&quot;;@">
                  <c:v>2017年6月</c:v>
                </c:pt>
                <c:pt idx="6" c:formatCode="yyyy&quot;年&quot;m&quot;月&quot;;@">
                  <c:v>2017年7月</c:v>
                </c:pt>
                <c:pt idx="7" c:formatCode="yyyy&quot;年&quot;m&quot;月&quot;;@">
                  <c:v>2017年8月</c:v>
                </c:pt>
                <c:pt idx="8" c:formatCode="yyyy&quot;年&quot;m&quot;月&quot;;@">
                  <c:v>2017年9月</c:v>
                </c:pt>
                <c:pt idx="9" c:formatCode="yyyy&quot;年&quot;m&quot;月&quot;;@">
                  <c:v>2017年10月</c:v>
                </c:pt>
                <c:pt idx="10" c:formatCode="yyyy&quot;年&quot;m&quot;月&quot;;@">
                  <c:v>2017年11月</c:v>
                </c:pt>
                <c:pt idx="11" c:formatCode="yyyy&quot;年&quot;m&quot;月&quot;;@">
                  <c:v>2017年12月</c:v>
                </c:pt>
                <c:pt idx="12" c:formatCode="yyyy&quot;年&quot;m&quot;月&quot;;@">
                  <c:v>2018年1月</c:v>
                </c:pt>
                <c:pt idx="13" c:formatCode="yyyy&quot;年&quot;m&quot;月&quot;;@">
                  <c:v>2018年2月</c:v>
                </c:pt>
                <c:pt idx="14" c:formatCode="yyyy&quot;年&quot;m&quot;月&quot;;@">
                  <c:v>2018年3月</c:v>
                </c:pt>
                <c:pt idx="15" c:formatCode="yyyy&quot;年&quot;m&quot;月&quot;;@">
                  <c:v>2018年4月</c:v>
                </c:pt>
                <c:pt idx="16" c:formatCode="yyyy&quot;年&quot;m&quot;月&quot;;@">
                  <c:v>2018年5月</c:v>
                </c:pt>
                <c:pt idx="17" c:formatCode="yyyy&quot;年&quot;m&quot;月&quot;;@">
                  <c:v>2018年6月</c:v>
                </c:pt>
                <c:pt idx="18" c:formatCode="yyyy&quot;年&quot;m&quot;月&quot;;@">
                  <c:v>2018年7月</c:v>
                </c:pt>
                <c:pt idx="19" c:formatCode="yyyy&quot;年&quot;m&quot;月&quot;;@">
                  <c:v>2018年8月</c:v>
                </c:pt>
                <c:pt idx="20" c:formatCode="yyyy&quot;年&quot;m&quot;月&quot;;@">
                  <c:v>2018年9月</c:v>
                </c:pt>
                <c:pt idx="21" c:formatCode="yyyy&quot;年&quot;m&quot;月&quot;;@">
                  <c:v>2018年10月</c:v>
                </c:pt>
                <c:pt idx="22" c:formatCode="yyyy&quot;年&quot;m&quot;月&quot;;@">
                  <c:v>2018年11月</c:v>
                </c:pt>
                <c:pt idx="23" c:formatCode="yyyy&quot;年&quot;m&quot;月&quot;;@">
                  <c:v>2018年12月</c:v>
                </c:pt>
                <c:pt idx="24" c:formatCode="yyyy&quot;年&quot;m&quot;月&quot;;@">
                  <c:v>2019年1月</c:v>
                </c:pt>
                <c:pt idx="25" c:formatCode="yyyy&quot;年&quot;m&quot;月&quot;;@">
                  <c:v>2019年2月</c:v>
                </c:pt>
                <c:pt idx="26" c:formatCode="yyyy&quot;年&quot;m&quot;月&quot;;@">
                  <c:v>2019年3月</c:v>
                </c:pt>
                <c:pt idx="27" c:formatCode="yyyy&quot;年&quot;m&quot;月&quot;;@">
                  <c:v>2019年4月</c:v>
                </c:pt>
                <c:pt idx="28" c:formatCode="yyyy&quot;年&quot;m&quot;月&quot;;@">
                  <c:v>2019年5月</c:v>
                </c:pt>
                <c:pt idx="29" c:formatCode="yyyy&quot;年&quot;m&quot;月&quot;;@">
                  <c:v>2019年6月</c:v>
                </c:pt>
                <c:pt idx="30" c:formatCode="yyyy&quot;年&quot;m&quot;月&quot;;@">
                  <c:v>2019年7月</c:v>
                </c:pt>
                <c:pt idx="31" c:formatCode="yyyy&quot;年&quot;m&quot;月&quot;;@">
                  <c:v>2019年8月</c:v>
                </c:pt>
                <c:pt idx="32" c:formatCode="yyyy&quot;年&quot;m&quot;月&quot;;@">
                  <c:v>2019年9月</c:v>
                </c:pt>
                <c:pt idx="33" c:formatCode="yyyy&quot;年&quot;m&quot;月&quot;;@">
                  <c:v>2019年10月</c:v>
                </c:pt>
                <c:pt idx="34" c:formatCode="yyyy&quot;年&quot;m&quot;月&quot;;@">
                  <c:v>2019年11月</c:v>
                </c:pt>
                <c:pt idx="35" c:formatCode="yyyy&quot;年&quot;m&quot;月&quot;;@">
                  <c:v>2019年12月</c:v>
                </c:pt>
                <c:pt idx="36" c:formatCode="yyyy&quot;年&quot;m&quot;月&quot;;@">
                  <c:v>2020年1月</c:v>
                </c:pt>
                <c:pt idx="37" c:formatCode="yyyy&quot;年&quot;m&quot;月&quot;;@">
                  <c:v>2020年2月</c:v>
                </c:pt>
                <c:pt idx="38" c:formatCode="yyyy&quot;年&quot;m&quot;月&quot;;@">
                  <c:v>2020年3月</c:v>
                </c:pt>
                <c:pt idx="39" c:formatCode="yyyy&quot;年&quot;m&quot;月&quot;;@">
                  <c:v>2020年4月</c:v>
                </c:pt>
                <c:pt idx="40" c:formatCode="yyyy&quot;年&quot;m&quot;月&quot;;@">
                  <c:v>2020年5月</c:v>
                </c:pt>
                <c:pt idx="41" c:formatCode="yyyy&quot;年&quot;m&quot;月&quot;;@">
                  <c:v>2020年6月</c:v>
                </c:pt>
                <c:pt idx="42" c:formatCode="yyyy&quot;年&quot;m&quot;月&quot;;@">
                  <c:v>2020年7月</c:v>
                </c:pt>
                <c:pt idx="43" c:formatCode="yyyy&quot;年&quot;m&quot;月&quot;;@">
                  <c:v>2020年8月</c:v>
                </c:pt>
                <c:pt idx="44" c:formatCode="yyyy&quot;年&quot;m&quot;月&quot;;@">
                  <c:v>2020年9月</c:v>
                </c:pt>
                <c:pt idx="45" c:formatCode="yyyy&quot;年&quot;m&quot;月&quot;;@">
                  <c:v>2020年10月</c:v>
                </c:pt>
                <c:pt idx="46" c:formatCode="yyyy&quot;年&quot;m&quot;月&quot;;@">
                  <c:v>2020年11月</c:v>
                </c:pt>
                <c:pt idx="47" c:formatCode="yyyy&quot;年&quot;m&quot;月&quot;;@">
                  <c:v>2020年12月</c:v>
                </c:pt>
                <c:pt idx="48" c:formatCode="yyyy&quot;年&quot;m&quot;月&quot;;@">
                  <c:v>2021年1月</c:v>
                </c:pt>
                <c:pt idx="49" c:formatCode="yyyy&quot;年&quot;m&quot;月&quot;;@">
                  <c:v>2021年2月</c:v>
                </c:pt>
                <c:pt idx="50" c:formatCode="yyyy&quot;年&quot;m&quot;月&quot;;@">
                  <c:v>2021年3月</c:v>
                </c:pt>
                <c:pt idx="51" c:formatCode="yyyy&quot;年&quot;m&quot;月&quot;;@">
                  <c:v>2021年4月</c:v>
                </c:pt>
                <c:pt idx="52" c:formatCode="yyyy&quot;年&quot;m&quot;月&quot;;@">
                  <c:v>2021年5月</c:v>
                </c:pt>
                <c:pt idx="53" c:formatCode="yyyy&quot;年&quot;m&quot;月&quot;;@">
                  <c:v>2021年6月</c:v>
                </c:pt>
                <c:pt idx="54" c:formatCode="yyyy&quot;年&quot;m&quot;月&quot;;@">
                  <c:v>2021年7月</c:v>
                </c:pt>
                <c:pt idx="55" c:formatCode="yyyy&quot;年&quot;m&quot;月&quot;;@">
                  <c:v>2021年8月</c:v>
                </c:pt>
                <c:pt idx="56" c:formatCode="yyyy&quot;年&quot;m&quot;月&quot;;@">
                  <c:v>2021年9月</c:v>
                </c:pt>
                <c:pt idx="57" c:formatCode="yyyy&quot;年&quot;m&quot;月&quot;;@">
                  <c:v>2021年10月</c:v>
                </c:pt>
                <c:pt idx="58" c:formatCode="yyyy&quot;年&quot;m&quot;月&quot;;@">
                  <c:v>2021年11月</c:v>
                </c:pt>
                <c:pt idx="59" c:formatCode="yyyy&quot;年&quot;m&quot;月&quot;;@">
                  <c:v>2021年12月</c:v>
                </c:pt>
                <c:pt idx="60" c:formatCode="yyyy&quot;年&quot;m&quot;月&quot;;@">
                  <c:v>2022年1月</c:v>
                </c:pt>
                <c:pt idx="61" c:formatCode="yyyy&quot;年&quot;m&quot;月&quot;;@">
                  <c:v>2022年2月</c:v>
                </c:pt>
                <c:pt idx="62" c:formatCode="yyyy&quot;年&quot;m&quot;月&quot;;@">
                  <c:v>2022年3月</c:v>
                </c:pt>
                <c:pt idx="63" c:formatCode="yyyy&quot;年&quot;m&quot;月&quot;;@">
                  <c:v>2022年4月</c:v>
                </c:pt>
                <c:pt idx="64" c:formatCode="yyyy&quot;年&quot;m&quot;月&quot;;@">
                  <c:v>2022年5月</c:v>
                </c:pt>
                <c:pt idx="65" c:formatCode="yyyy&quot;年&quot;m&quot;月&quot;;@">
                  <c:v>2022年6月</c:v>
                </c:pt>
                <c:pt idx="66" c:formatCode="yyyy&quot;年&quot;m&quot;月&quot;;@">
                  <c:v>2022年7月</c:v>
                </c:pt>
                <c:pt idx="67" c:formatCode="yyyy&quot;年&quot;m&quot;月&quot;;@">
                  <c:v>2022年8月</c:v>
                </c:pt>
                <c:pt idx="68" c:formatCode="yyyy&quot;年&quot;m&quot;月&quot;;@">
                  <c:v>2022年9月</c:v>
                </c:pt>
                <c:pt idx="69" c:formatCode="yyyy&quot;年&quot;m&quot;月&quot;;@">
                  <c:v>2022年10月</c:v>
                </c:pt>
                <c:pt idx="70" c:formatCode="yyyy&quot;年&quot;m&quot;月&quot;;@">
                  <c:v>2022年11月</c:v>
                </c:pt>
                <c:pt idx="71" c:formatCode="yyyy&quot;年&quot;m&quot;月&quot;;@">
                  <c:v>2022年12月</c:v>
                </c:pt>
                <c:pt idx="72" c:formatCode="yyyy&quot;年&quot;m&quot;月&quot;;@">
                  <c:v>2023年1月</c:v>
                </c:pt>
                <c:pt idx="73" c:formatCode="yyyy&quot;年&quot;m&quot;月&quot;;@">
                  <c:v>2023年2月</c:v>
                </c:pt>
                <c:pt idx="74" c:formatCode="yyyy&quot;年&quot;m&quot;月&quot;;@">
                  <c:v>2023年3月</c:v>
                </c:pt>
                <c:pt idx="75" c:formatCode="yyyy&quot;年&quot;m&quot;月&quot;;@">
                  <c:v>2023年4月</c:v>
                </c:pt>
                <c:pt idx="76" c:formatCode="yyyy&quot;年&quot;m&quot;月&quot;;@">
                  <c:v>2023年5月</c:v>
                </c:pt>
                <c:pt idx="77" c:formatCode="yyyy&quot;年&quot;m&quot;月&quot;;@">
                  <c:v>2023年6月</c:v>
                </c:pt>
                <c:pt idx="78" c:formatCode="yyyy&quot;年&quot;m&quot;月&quot;;@">
                  <c:v>2023年7月</c:v>
                </c:pt>
                <c:pt idx="79" c:formatCode="yyyy&quot;年&quot;m&quot;月&quot;;@">
                  <c:v>2023年8月</c:v>
                </c:pt>
                <c:pt idx="80" c:formatCode="yyyy&quot;年&quot;m&quot;月&quot;;@">
                  <c:v>2023年9月</c:v>
                </c:pt>
                <c:pt idx="81" c:formatCode="yyyy&quot;年&quot;m&quot;月&quot;;@">
                  <c:v>2023年10月</c:v>
                </c:pt>
                <c:pt idx="82" c:formatCode="yyyy&quot;年&quot;m&quot;月&quot;;@">
                  <c:v>2023年11月</c:v>
                </c:pt>
                <c:pt idx="83" c:formatCode="yyyy&quot;年&quot;m&quot;月&quot;;@">
                  <c:v>2023年12月</c:v>
                </c:pt>
                <c:pt idx="84">
                  <c:v>2024/1月</c:v>
                </c:pt>
                <c:pt idx="85">
                  <c:v>2024/2月</c:v>
                </c:pt>
                <c:pt idx="86">
                  <c:v>2024/3月</c:v>
                </c:pt>
                <c:pt idx="87">
                  <c:v>2024/4月</c:v>
                </c:pt>
                <c:pt idx="88">
                  <c:v>2024/5月</c:v>
                </c:pt>
                <c:pt idx="89">
                  <c:v>2024/6月</c:v>
                </c:pt>
                <c:pt idx="90">
                  <c:v>2024/7月</c:v>
                </c:pt>
                <c:pt idx="91">
                  <c:v>2024/8月</c:v>
                </c:pt>
                <c:pt idx="92">
                  <c:v>2024/9月</c:v>
                </c:pt>
                <c:pt idx="93">
                  <c:v>2024/10月</c:v>
                </c:pt>
                <c:pt idx="94">
                  <c:v>2024/11月</c:v>
                </c:pt>
                <c:pt idx="95">
                  <c:v>2024/12月</c:v>
                </c:pt>
              </c:strCache>
            </c:strRef>
          </c:cat>
          <c:val>
            <c:numRef>
              <c:f>一般工商业及其他!$E$2:$E$97</c:f>
              <c:numCache>
                <c:formatCode>0.0000_);[Red]\(0.0000\)</c:formatCode>
                <c:ptCount val="96"/>
                <c:pt idx="0">
                  <c:v>116250.438</c:v>
                </c:pt>
                <c:pt idx="1">
                  <c:v>105662.6952</c:v>
                </c:pt>
                <c:pt idx="2">
                  <c:v>101681.3952</c:v>
                </c:pt>
                <c:pt idx="3">
                  <c:v>106647.5123</c:v>
                </c:pt>
                <c:pt idx="4">
                  <c:v>98772.1574999999</c:v>
                </c:pt>
                <c:pt idx="5">
                  <c:v>116810.9185</c:v>
                </c:pt>
                <c:pt idx="6">
                  <c:v>130005.0461</c:v>
                </c:pt>
                <c:pt idx="7">
                  <c:v>160876.1052</c:v>
                </c:pt>
                <c:pt idx="8">
                  <c:v>134618.7033</c:v>
                </c:pt>
                <c:pt idx="9">
                  <c:v>111428.3072</c:v>
                </c:pt>
                <c:pt idx="10">
                  <c:v>104166.339</c:v>
                </c:pt>
                <c:pt idx="11">
                  <c:v>110745.4645</c:v>
                </c:pt>
                <c:pt idx="12">
                  <c:v>135800.289</c:v>
                </c:pt>
                <c:pt idx="13">
                  <c:v>135741.5817</c:v>
                </c:pt>
                <c:pt idx="14">
                  <c:v>93611.7223000004</c:v>
                </c:pt>
                <c:pt idx="15">
                  <c:v>105582.1767</c:v>
                </c:pt>
                <c:pt idx="16">
                  <c:v>108071.5555</c:v>
                </c:pt>
                <c:pt idx="17">
                  <c:v>127173.154599999</c:v>
                </c:pt>
                <c:pt idx="18">
                  <c:v>136179.7479</c:v>
                </c:pt>
                <c:pt idx="19">
                  <c:v>161480.0078</c:v>
                </c:pt>
                <c:pt idx="20">
                  <c:v>171914.203000001</c:v>
                </c:pt>
                <c:pt idx="21">
                  <c:v>114260</c:v>
                </c:pt>
                <c:pt idx="22">
                  <c:v>111636</c:v>
                </c:pt>
                <c:pt idx="23">
                  <c:v>125916</c:v>
                </c:pt>
                <c:pt idx="24">
                  <c:v>157640.681899999</c:v>
                </c:pt>
                <c:pt idx="25">
                  <c:v>133276.553299999</c:v>
                </c:pt>
                <c:pt idx="26">
                  <c:v>117022.9232</c:v>
                </c:pt>
                <c:pt idx="27">
                  <c:v>120528.9809</c:v>
                </c:pt>
                <c:pt idx="28">
                  <c:v>119989.707100001</c:v>
                </c:pt>
                <c:pt idx="29">
                  <c:v>132641.7748</c:v>
                </c:pt>
                <c:pt idx="30">
                  <c:v>147969.3172</c:v>
                </c:pt>
                <c:pt idx="31">
                  <c:v>168478.436799999</c:v>
                </c:pt>
                <c:pt idx="32">
                  <c:v>174323.029100001</c:v>
                </c:pt>
                <c:pt idx="33">
                  <c:v>124516.464900001</c:v>
                </c:pt>
                <c:pt idx="34">
                  <c:v>124725.4017</c:v>
                </c:pt>
                <c:pt idx="35">
                  <c:v>140230.1555</c:v>
                </c:pt>
                <c:pt idx="36">
                  <c:v>155437.2712</c:v>
                </c:pt>
                <c:pt idx="37">
                  <c:v>108540.7959</c:v>
                </c:pt>
                <c:pt idx="38">
                  <c:v>76999.3497999999</c:v>
                </c:pt>
                <c:pt idx="39">
                  <c:v>108829.0885</c:v>
                </c:pt>
                <c:pt idx="40">
                  <c:v>118382.5547</c:v>
                </c:pt>
                <c:pt idx="41">
                  <c:v>148794.259799999</c:v>
                </c:pt>
                <c:pt idx="42">
                  <c:v>168112.1965</c:v>
                </c:pt>
                <c:pt idx="43">
                  <c:v>183586.0554</c:v>
                </c:pt>
                <c:pt idx="44">
                  <c:v>184192.060299998</c:v>
                </c:pt>
                <c:pt idx="45">
                  <c:v>136564.2783</c:v>
                </c:pt>
                <c:pt idx="46">
                  <c:v>135485.4015</c:v>
                </c:pt>
                <c:pt idx="47">
                  <c:v>153197.9812</c:v>
                </c:pt>
                <c:pt idx="48">
                  <c:v>182441.020900001</c:v>
                </c:pt>
                <c:pt idx="49">
                  <c:v>159709.6938</c:v>
                </c:pt>
                <c:pt idx="50">
                  <c:v>113438.6893</c:v>
                </c:pt>
                <c:pt idx="51">
                  <c:v>139776.700500001</c:v>
                </c:pt>
                <c:pt idx="52">
                  <c:v>136259.1082</c:v>
                </c:pt>
                <c:pt idx="53">
                  <c:v>163007.810299999</c:v>
                </c:pt>
                <c:pt idx="54">
                  <c:v>244475.673</c:v>
                </c:pt>
                <c:pt idx="55">
                  <c:v>238739.498499999</c:v>
                </c:pt>
                <c:pt idx="56">
                  <c:v>180133.628699999</c:v>
                </c:pt>
                <c:pt idx="57">
                  <c:v>173629.9722</c:v>
                </c:pt>
                <c:pt idx="58">
                  <c:v>154595.7216</c:v>
                </c:pt>
                <c:pt idx="59">
                  <c:v>169183.2369</c:v>
                </c:pt>
                <c:pt idx="60">
                  <c:v>186823.538199999</c:v>
                </c:pt>
                <c:pt idx="61">
                  <c:v>162078.0354</c:v>
                </c:pt>
                <c:pt idx="62">
                  <c:v>138801.7777</c:v>
                </c:pt>
                <c:pt idx="63">
                  <c:v>144931.5035</c:v>
                </c:pt>
                <c:pt idx="64">
                  <c:v>151327.815</c:v>
                </c:pt>
                <c:pt idx="65">
                  <c:v>190239.062899999</c:v>
                </c:pt>
                <c:pt idx="66">
                  <c:v>227520.361500001</c:v>
                </c:pt>
                <c:pt idx="67">
                  <c:v>240238.460299999</c:v>
                </c:pt>
                <c:pt idx="68">
                  <c:v>132644.0048</c:v>
                </c:pt>
                <c:pt idx="69">
                  <c:v>140428.5995</c:v>
                </c:pt>
                <c:pt idx="70">
                  <c:v>147234.734500001</c:v>
                </c:pt>
                <c:pt idx="71">
                  <c:v>165782.6906</c:v>
                </c:pt>
                <c:pt idx="72">
                  <c:v>167011.764400001</c:v>
                </c:pt>
                <c:pt idx="73">
                  <c:v>169493.8056</c:v>
                </c:pt>
                <c:pt idx="74">
                  <c:v>141422.8397</c:v>
                </c:pt>
                <c:pt idx="75">
                  <c:v>159895.1299</c:v>
                </c:pt>
                <c:pt idx="76">
                  <c:v>166978.8075</c:v>
                </c:pt>
                <c:pt idx="77">
                  <c:v>195642.573600001</c:v>
                </c:pt>
                <c:pt idx="78">
                  <c:v>243970.3589</c:v>
                </c:pt>
                <c:pt idx="79">
                  <c:v>238951.8893</c:v>
                </c:pt>
                <c:pt idx="80">
                  <c:v>194646.9966</c:v>
                </c:pt>
                <c:pt idx="81">
                  <c:v>157572.2132</c:v>
                </c:pt>
                <c:pt idx="82">
                  <c:v>160825.186</c:v>
                </c:pt>
                <c:pt idx="83">
                  <c:v>191091.89</c:v>
                </c:pt>
                <c:pt idx="84">
                  <c:v>203348.555251184</c:v>
                </c:pt>
                <c:pt idx="85">
                  <c:v>173230.985449239</c:v>
                </c:pt>
                <c:pt idx="86">
                  <c:v>137387.379899617</c:v>
                </c:pt>
                <c:pt idx="87">
                  <c:v>153551.095016015</c:v>
                </c:pt>
                <c:pt idx="88">
                  <c:v>159305.061965103</c:v>
                </c:pt>
                <c:pt idx="89">
                  <c:v>192509.638953449</c:v>
                </c:pt>
                <c:pt idx="90">
                  <c:v>233802.846823062</c:v>
                </c:pt>
                <c:pt idx="91">
                  <c:v>241714.786676424</c:v>
                </c:pt>
                <c:pt idx="92">
                  <c:v>201868.480090011</c:v>
                </c:pt>
                <c:pt idx="93">
                  <c:v>162953.894097616</c:v>
                </c:pt>
                <c:pt idx="94">
                  <c:v>162220.485666225</c:v>
                </c:pt>
                <c:pt idx="95">
                  <c:v>182114.216288284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一般工商业及其他!$F$1</c:f>
              <c:strCache>
                <c:ptCount val="1"/>
                <c:pt idx="0">
                  <c:v>历史售电量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一般工商业及其他!$A$2:$A$97</c:f>
              <c:strCache>
                <c:ptCount val="96"/>
                <c:pt idx="0" c:formatCode="yyyy&quot;年&quot;m&quot;月&quot;;@">
                  <c:v>2017年1月</c:v>
                </c:pt>
                <c:pt idx="1" c:formatCode="yyyy&quot;年&quot;m&quot;月&quot;;@">
                  <c:v>2017年2月</c:v>
                </c:pt>
                <c:pt idx="2" c:formatCode="yyyy&quot;年&quot;m&quot;月&quot;;@">
                  <c:v>2017年3月</c:v>
                </c:pt>
                <c:pt idx="3" c:formatCode="yyyy&quot;年&quot;m&quot;月&quot;;@">
                  <c:v>2017年4月</c:v>
                </c:pt>
                <c:pt idx="4" c:formatCode="yyyy&quot;年&quot;m&quot;月&quot;;@">
                  <c:v>2017年5月</c:v>
                </c:pt>
                <c:pt idx="5" c:formatCode="yyyy&quot;年&quot;m&quot;月&quot;;@">
                  <c:v>2017年6月</c:v>
                </c:pt>
                <c:pt idx="6" c:formatCode="yyyy&quot;年&quot;m&quot;月&quot;;@">
                  <c:v>2017年7月</c:v>
                </c:pt>
                <c:pt idx="7" c:formatCode="yyyy&quot;年&quot;m&quot;月&quot;;@">
                  <c:v>2017年8月</c:v>
                </c:pt>
                <c:pt idx="8" c:formatCode="yyyy&quot;年&quot;m&quot;月&quot;;@">
                  <c:v>2017年9月</c:v>
                </c:pt>
                <c:pt idx="9" c:formatCode="yyyy&quot;年&quot;m&quot;月&quot;;@">
                  <c:v>2017年10月</c:v>
                </c:pt>
                <c:pt idx="10" c:formatCode="yyyy&quot;年&quot;m&quot;月&quot;;@">
                  <c:v>2017年11月</c:v>
                </c:pt>
                <c:pt idx="11" c:formatCode="yyyy&quot;年&quot;m&quot;月&quot;;@">
                  <c:v>2017年12月</c:v>
                </c:pt>
                <c:pt idx="12" c:formatCode="yyyy&quot;年&quot;m&quot;月&quot;;@">
                  <c:v>2018年1月</c:v>
                </c:pt>
                <c:pt idx="13" c:formatCode="yyyy&quot;年&quot;m&quot;月&quot;;@">
                  <c:v>2018年2月</c:v>
                </c:pt>
                <c:pt idx="14" c:formatCode="yyyy&quot;年&quot;m&quot;月&quot;;@">
                  <c:v>2018年3月</c:v>
                </c:pt>
                <c:pt idx="15" c:formatCode="yyyy&quot;年&quot;m&quot;月&quot;;@">
                  <c:v>2018年4月</c:v>
                </c:pt>
                <c:pt idx="16" c:formatCode="yyyy&quot;年&quot;m&quot;月&quot;;@">
                  <c:v>2018年5月</c:v>
                </c:pt>
                <c:pt idx="17" c:formatCode="yyyy&quot;年&quot;m&quot;月&quot;;@">
                  <c:v>2018年6月</c:v>
                </c:pt>
                <c:pt idx="18" c:formatCode="yyyy&quot;年&quot;m&quot;月&quot;;@">
                  <c:v>2018年7月</c:v>
                </c:pt>
                <c:pt idx="19" c:formatCode="yyyy&quot;年&quot;m&quot;月&quot;;@">
                  <c:v>2018年8月</c:v>
                </c:pt>
                <c:pt idx="20" c:formatCode="yyyy&quot;年&quot;m&quot;月&quot;;@">
                  <c:v>2018年9月</c:v>
                </c:pt>
                <c:pt idx="21" c:formatCode="yyyy&quot;年&quot;m&quot;月&quot;;@">
                  <c:v>2018年10月</c:v>
                </c:pt>
                <c:pt idx="22" c:formatCode="yyyy&quot;年&quot;m&quot;月&quot;;@">
                  <c:v>2018年11月</c:v>
                </c:pt>
                <c:pt idx="23" c:formatCode="yyyy&quot;年&quot;m&quot;月&quot;;@">
                  <c:v>2018年12月</c:v>
                </c:pt>
                <c:pt idx="24" c:formatCode="yyyy&quot;年&quot;m&quot;月&quot;;@">
                  <c:v>2019年1月</c:v>
                </c:pt>
                <c:pt idx="25" c:formatCode="yyyy&quot;年&quot;m&quot;月&quot;;@">
                  <c:v>2019年2月</c:v>
                </c:pt>
                <c:pt idx="26" c:formatCode="yyyy&quot;年&quot;m&quot;月&quot;;@">
                  <c:v>2019年3月</c:v>
                </c:pt>
                <c:pt idx="27" c:formatCode="yyyy&quot;年&quot;m&quot;月&quot;;@">
                  <c:v>2019年4月</c:v>
                </c:pt>
                <c:pt idx="28" c:formatCode="yyyy&quot;年&quot;m&quot;月&quot;;@">
                  <c:v>2019年5月</c:v>
                </c:pt>
                <c:pt idx="29" c:formatCode="yyyy&quot;年&quot;m&quot;月&quot;;@">
                  <c:v>2019年6月</c:v>
                </c:pt>
                <c:pt idx="30" c:formatCode="yyyy&quot;年&quot;m&quot;月&quot;;@">
                  <c:v>2019年7月</c:v>
                </c:pt>
                <c:pt idx="31" c:formatCode="yyyy&quot;年&quot;m&quot;月&quot;;@">
                  <c:v>2019年8月</c:v>
                </c:pt>
                <c:pt idx="32" c:formatCode="yyyy&quot;年&quot;m&quot;月&quot;;@">
                  <c:v>2019年9月</c:v>
                </c:pt>
                <c:pt idx="33" c:formatCode="yyyy&quot;年&quot;m&quot;月&quot;;@">
                  <c:v>2019年10月</c:v>
                </c:pt>
                <c:pt idx="34" c:formatCode="yyyy&quot;年&quot;m&quot;月&quot;;@">
                  <c:v>2019年11月</c:v>
                </c:pt>
                <c:pt idx="35" c:formatCode="yyyy&quot;年&quot;m&quot;月&quot;;@">
                  <c:v>2019年12月</c:v>
                </c:pt>
                <c:pt idx="36" c:formatCode="yyyy&quot;年&quot;m&quot;月&quot;;@">
                  <c:v>2020年1月</c:v>
                </c:pt>
                <c:pt idx="37" c:formatCode="yyyy&quot;年&quot;m&quot;月&quot;;@">
                  <c:v>2020年2月</c:v>
                </c:pt>
                <c:pt idx="38" c:formatCode="yyyy&quot;年&quot;m&quot;月&quot;;@">
                  <c:v>2020年3月</c:v>
                </c:pt>
                <c:pt idx="39" c:formatCode="yyyy&quot;年&quot;m&quot;月&quot;;@">
                  <c:v>2020年4月</c:v>
                </c:pt>
                <c:pt idx="40" c:formatCode="yyyy&quot;年&quot;m&quot;月&quot;;@">
                  <c:v>2020年5月</c:v>
                </c:pt>
                <c:pt idx="41" c:formatCode="yyyy&quot;年&quot;m&quot;月&quot;;@">
                  <c:v>2020年6月</c:v>
                </c:pt>
                <c:pt idx="42" c:formatCode="yyyy&quot;年&quot;m&quot;月&quot;;@">
                  <c:v>2020年7月</c:v>
                </c:pt>
                <c:pt idx="43" c:formatCode="yyyy&quot;年&quot;m&quot;月&quot;;@">
                  <c:v>2020年8月</c:v>
                </c:pt>
                <c:pt idx="44" c:formatCode="yyyy&quot;年&quot;m&quot;月&quot;;@">
                  <c:v>2020年9月</c:v>
                </c:pt>
                <c:pt idx="45" c:formatCode="yyyy&quot;年&quot;m&quot;月&quot;;@">
                  <c:v>2020年10月</c:v>
                </c:pt>
                <c:pt idx="46" c:formatCode="yyyy&quot;年&quot;m&quot;月&quot;;@">
                  <c:v>2020年11月</c:v>
                </c:pt>
                <c:pt idx="47" c:formatCode="yyyy&quot;年&quot;m&quot;月&quot;;@">
                  <c:v>2020年12月</c:v>
                </c:pt>
                <c:pt idx="48" c:formatCode="yyyy&quot;年&quot;m&quot;月&quot;;@">
                  <c:v>2021年1月</c:v>
                </c:pt>
                <c:pt idx="49" c:formatCode="yyyy&quot;年&quot;m&quot;月&quot;;@">
                  <c:v>2021年2月</c:v>
                </c:pt>
                <c:pt idx="50" c:formatCode="yyyy&quot;年&quot;m&quot;月&quot;;@">
                  <c:v>2021年3月</c:v>
                </c:pt>
                <c:pt idx="51" c:formatCode="yyyy&quot;年&quot;m&quot;月&quot;;@">
                  <c:v>2021年4月</c:v>
                </c:pt>
                <c:pt idx="52" c:formatCode="yyyy&quot;年&quot;m&quot;月&quot;;@">
                  <c:v>2021年5月</c:v>
                </c:pt>
                <c:pt idx="53" c:formatCode="yyyy&quot;年&quot;m&quot;月&quot;;@">
                  <c:v>2021年6月</c:v>
                </c:pt>
                <c:pt idx="54" c:formatCode="yyyy&quot;年&quot;m&quot;月&quot;;@">
                  <c:v>2021年7月</c:v>
                </c:pt>
                <c:pt idx="55" c:formatCode="yyyy&quot;年&quot;m&quot;月&quot;;@">
                  <c:v>2021年8月</c:v>
                </c:pt>
                <c:pt idx="56" c:formatCode="yyyy&quot;年&quot;m&quot;月&quot;;@">
                  <c:v>2021年9月</c:v>
                </c:pt>
                <c:pt idx="57" c:formatCode="yyyy&quot;年&quot;m&quot;月&quot;;@">
                  <c:v>2021年10月</c:v>
                </c:pt>
                <c:pt idx="58" c:formatCode="yyyy&quot;年&quot;m&quot;月&quot;;@">
                  <c:v>2021年11月</c:v>
                </c:pt>
                <c:pt idx="59" c:formatCode="yyyy&quot;年&quot;m&quot;月&quot;;@">
                  <c:v>2021年12月</c:v>
                </c:pt>
                <c:pt idx="60" c:formatCode="yyyy&quot;年&quot;m&quot;月&quot;;@">
                  <c:v>2022年1月</c:v>
                </c:pt>
                <c:pt idx="61" c:formatCode="yyyy&quot;年&quot;m&quot;月&quot;;@">
                  <c:v>2022年2月</c:v>
                </c:pt>
                <c:pt idx="62" c:formatCode="yyyy&quot;年&quot;m&quot;月&quot;;@">
                  <c:v>2022年3月</c:v>
                </c:pt>
                <c:pt idx="63" c:formatCode="yyyy&quot;年&quot;m&quot;月&quot;;@">
                  <c:v>2022年4月</c:v>
                </c:pt>
                <c:pt idx="64" c:formatCode="yyyy&quot;年&quot;m&quot;月&quot;;@">
                  <c:v>2022年5月</c:v>
                </c:pt>
                <c:pt idx="65" c:formatCode="yyyy&quot;年&quot;m&quot;月&quot;;@">
                  <c:v>2022年6月</c:v>
                </c:pt>
                <c:pt idx="66" c:formatCode="yyyy&quot;年&quot;m&quot;月&quot;;@">
                  <c:v>2022年7月</c:v>
                </c:pt>
                <c:pt idx="67" c:formatCode="yyyy&quot;年&quot;m&quot;月&quot;;@">
                  <c:v>2022年8月</c:v>
                </c:pt>
                <c:pt idx="68" c:formatCode="yyyy&quot;年&quot;m&quot;月&quot;;@">
                  <c:v>2022年9月</c:v>
                </c:pt>
                <c:pt idx="69" c:formatCode="yyyy&quot;年&quot;m&quot;月&quot;;@">
                  <c:v>2022年10月</c:v>
                </c:pt>
                <c:pt idx="70" c:formatCode="yyyy&quot;年&quot;m&quot;月&quot;;@">
                  <c:v>2022年11月</c:v>
                </c:pt>
                <c:pt idx="71" c:formatCode="yyyy&quot;年&quot;m&quot;月&quot;;@">
                  <c:v>2022年12月</c:v>
                </c:pt>
                <c:pt idx="72" c:formatCode="yyyy&quot;年&quot;m&quot;月&quot;;@">
                  <c:v>2023年1月</c:v>
                </c:pt>
                <c:pt idx="73" c:formatCode="yyyy&quot;年&quot;m&quot;月&quot;;@">
                  <c:v>2023年2月</c:v>
                </c:pt>
                <c:pt idx="74" c:formatCode="yyyy&quot;年&quot;m&quot;月&quot;;@">
                  <c:v>2023年3月</c:v>
                </c:pt>
                <c:pt idx="75" c:formatCode="yyyy&quot;年&quot;m&quot;月&quot;;@">
                  <c:v>2023年4月</c:v>
                </c:pt>
                <c:pt idx="76" c:formatCode="yyyy&quot;年&quot;m&quot;月&quot;;@">
                  <c:v>2023年5月</c:v>
                </c:pt>
                <c:pt idx="77" c:formatCode="yyyy&quot;年&quot;m&quot;月&quot;;@">
                  <c:v>2023年6月</c:v>
                </c:pt>
                <c:pt idx="78" c:formatCode="yyyy&quot;年&quot;m&quot;月&quot;;@">
                  <c:v>2023年7月</c:v>
                </c:pt>
                <c:pt idx="79" c:formatCode="yyyy&quot;年&quot;m&quot;月&quot;;@">
                  <c:v>2023年8月</c:v>
                </c:pt>
                <c:pt idx="80" c:formatCode="yyyy&quot;年&quot;m&quot;月&quot;;@">
                  <c:v>2023年9月</c:v>
                </c:pt>
                <c:pt idx="81" c:formatCode="yyyy&quot;年&quot;m&quot;月&quot;;@">
                  <c:v>2023年10月</c:v>
                </c:pt>
                <c:pt idx="82" c:formatCode="yyyy&quot;年&quot;m&quot;月&quot;;@">
                  <c:v>2023年11月</c:v>
                </c:pt>
                <c:pt idx="83" c:formatCode="yyyy&quot;年&quot;m&quot;月&quot;;@">
                  <c:v>2023年12月</c:v>
                </c:pt>
                <c:pt idx="84">
                  <c:v>2024/1月</c:v>
                </c:pt>
                <c:pt idx="85">
                  <c:v>2024/2月</c:v>
                </c:pt>
                <c:pt idx="86">
                  <c:v>2024/3月</c:v>
                </c:pt>
                <c:pt idx="87">
                  <c:v>2024/4月</c:v>
                </c:pt>
                <c:pt idx="88">
                  <c:v>2024/5月</c:v>
                </c:pt>
                <c:pt idx="89">
                  <c:v>2024/6月</c:v>
                </c:pt>
                <c:pt idx="90">
                  <c:v>2024/7月</c:v>
                </c:pt>
                <c:pt idx="91">
                  <c:v>2024/8月</c:v>
                </c:pt>
                <c:pt idx="92">
                  <c:v>2024/9月</c:v>
                </c:pt>
                <c:pt idx="93">
                  <c:v>2024/10月</c:v>
                </c:pt>
                <c:pt idx="94">
                  <c:v>2024/11月</c:v>
                </c:pt>
                <c:pt idx="95">
                  <c:v>2024/12月</c:v>
                </c:pt>
              </c:strCache>
            </c:strRef>
          </c:cat>
          <c:val>
            <c:numRef>
              <c:f>一般工商业及其他!$F$2:$F$97</c:f>
              <c:numCache>
                <c:formatCode>0.0000_);[Red]\(0.0000\)</c:formatCode>
                <c:ptCount val="96"/>
                <c:pt idx="0">
                  <c:v>116250.438</c:v>
                </c:pt>
                <c:pt idx="1">
                  <c:v>105662.6952</c:v>
                </c:pt>
                <c:pt idx="2">
                  <c:v>101681.3952</c:v>
                </c:pt>
                <c:pt idx="3">
                  <c:v>106647.5123</c:v>
                </c:pt>
                <c:pt idx="4">
                  <c:v>98772.1575</c:v>
                </c:pt>
                <c:pt idx="5">
                  <c:v>116810.9185</c:v>
                </c:pt>
                <c:pt idx="6">
                  <c:v>130005.0461</c:v>
                </c:pt>
                <c:pt idx="7">
                  <c:v>160876.1052</c:v>
                </c:pt>
                <c:pt idx="8">
                  <c:v>134618.7033</c:v>
                </c:pt>
                <c:pt idx="9">
                  <c:v>111428.3072</c:v>
                </c:pt>
                <c:pt idx="10">
                  <c:v>104166.339</c:v>
                </c:pt>
                <c:pt idx="11">
                  <c:v>110745.4645</c:v>
                </c:pt>
                <c:pt idx="12">
                  <c:v>135800.289</c:v>
                </c:pt>
                <c:pt idx="13">
                  <c:v>135741.5817</c:v>
                </c:pt>
                <c:pt idx="14">
                  <c:v>93611.7223</c:v>
                </c:pt>
                <c:pt idx="15">
                  <c:v>105582.1767</c:v>
                </c:pt>
                <c:pt idx="16">
                  <c:v>108071.5555</c:v>
                </c:pt>
                <c:pt idx="17">
                  <c:v>127173.1546</c:v>
                </c:pt>
                <c:pt idx="18">
                  <c:v>136179.7479</c:v>
                </c:pt>
                <c:pt idx="19">
                  <c:v>161480.0078</c:v>
                </c:pt>
                <c:pt idx="20">
                  <c:v>171914.203</c:v>
                </c:pt>
                <c:pt idx="21">
                  <c:v>114260</c:v>
                </c:pt>
                <c:pt idx="22">
                  <c:v>111636</c:v>
                </c:pt>
                <c:pt idx="23">
                  <c:v>125916</c:v>
                </c:pt>
                <c:pt idx="24">
                  <c:v>157640.6819</c:v>
                </c:pt>
                <c:pt idx="25">
                  <c:v>133276.5533</c:v>
                </c:pt>
                <c:pt idx="26">
                  <c:v>117022.9232</c:v>
                </c:pt>
                <c:pt idx="27">
                  <c:v>120528.9809</c:v>
                </c:pt>
                <c:pt idx="28">
                  <c:v>119989.7071</c:v>
                </c:pt>
                <c:pt idx="29">
                  <c:v>132641.7748</c:v>
                </c:pt>
                <c:pt idx="30">
                  <c:v>147969.3172</c:v>
                </c:pt>
                <c:pt idx="31">
                  <c:v>168478.4368</c:v>
                </c:pt>
                <c:pt idx="32">
                  <c:v>174323.0291</c:v>
                </c:pt>
                <c:pt idx="33">
                  <c:v>124516.4649</c:v>
                </c:pt>
                <c:pt idx="34">
                  <c:v>124725.4017</c:v>
                </c:pt>
                <c:pt idx="35">
                  <c:v>140230.1555</c:v>
                </c:pt>
                <c:pt idx="36">
                  <c:v>155437.2712</c:v>
                </c:pt>
                <c:pt idx="37">
                  <c:v>108540.7959</c:v>
                </c:pt>
                <c:pt idx="38">
                  <c:v>76999.3498</c:v>
                </c:pt>
                <c:pt idx="39">
                  <c:v>108829.0885</c:v>
                </c:pt>
                <c:pt idx="40">
                  <c:v>118382.5547</c:v>
                </c:pt>
                <c:pt idx="41">
                  <c:v>148794.2598</c:v>
                </c:pt>
                <c:pt idx="42">
                  <c:v>168112.1965</c:v>
                </c:pt>
                <c:pt idx="43">
                  <c:v>183586.0554</c:v>
                </c:pt>
                <c:pt idx="44">
                  <c:v>184192.0603</c:v>
                </c:pt>
                <c:pt idx="45">
                  <c:v>136564.2783</c:v>
                </c:pt>
                <c:pt idx="46">
                  <c:v>135485.4015</c:v>
                </c:pt>
                <c:pt idx="47">
                  <c:v>153197.9812</c:v>
                </c:pt>
                <c:pt idx="48" c:formatCode="General">
                  <c:v>182441.0209</c:v>
                </c:pt>
                <c:pt idx="49" c:formatCode="General">
                  <c:v>159709.6938</c:v>
                </c:pt>
                <c:pt idx="50" c:formatCode="General">
                  <c:v>113438.6893</c:v>
                </c:pt>
                <c:pt idx="51" c:formatCode="General">
                  <c:v>139776.7005</c:v>
                </c:pt>
                <c:pt idx="52" c:formatCode="General">
                  <c:v>136259.1082</c:v>
                </c:pt>
                <c:pt idx="53" c:formatCode="General">
                  <c:v>163007.8103</c:v>
                </c:pt>
                <c:pt idx="54" c:formatCode="General">
                  <c:v>244475.673</c:v>
                </c:pt>
                <c:pt idx="55" c:formatCode="General">
                  <c:v>238739.4985</c:v>
                </c:pt>
                <c:pt idx="56" c:formatCode="General">
                  <c:v>180133.6287</c:v>
                </c:pt>
                <c:pt idx="57" c:formatCode="General">
                  <c:v>173629.9722</c:v>
                </c:pt>
                <c:pt idx="58" c:formatCode="General">
                  <c:v>154595.7216</c:v>
                </c:pt>
                <c:pt idx="59" c:formatCode="General">
                  <c:v>169183.2369</c:v>
                </c:pt>
                <c:pt idx="60" c:formatCode="General">
                  <c:v>186823.5382</c:v>
                </c:pt>
                <c:pt idx="61" c:formatCode="General">
                  <c:v>162078.0354</c:v>
                </c:pt>
                <c:pt idx="62" c:formatCode="General">
                  <c:v>138801.7777</c:v>
                </c:pt>
                <c:pt idx="63" c:formatCode="General">
                  <c:v>144931.5035</c:v>
                </c:pt>
                <c:pt idx="64" c:formatCode="General">
                  <c:v>151327.815</c:v>
                </c:pt>
                <c:pt idx="65" c:formatCode="General">
                  <c:v>190239.0629</c:v>
                </c:pt>
                <c:pt idx="66" c:formatCode="General">
                  <c:v>227520.3615</c:v>
                </c:pt>
                <c:pt idx="67" c:formatCode="General">
                  <c:v>240238.4603</c:v>
                </c:pt>
                <c:pt idx="68" c:formatCode="General">
                  <c:v>132644.0048</c:v>
                </c:pt>
                <c:pt idx="69" c:formatCode="General">
                  <c:v>140428.5995</c:v>
                </c:pt>
                <c:pt idx="70" c:formatCode="General">
                  <c:v>147234.7345</c:v>
                </c:pt>
                <c:pt idx="71" c:formatCode="General">
                  <c:v>165782.6906</c:v>
                </c:pt>
                <c:pt idx="72" c:formatCode="General">
                  <c:v>167011.7644</c:v>
                </c:pt>
                <c:pt idx="73" c:formatCode="General">
                  <c:v>169493.8056</c:v>
                </c:pt>
                <c:pt idx="74" c:formatCode="General">
                  <c:v>141422.8397</c:v>
                </c:pt>
                <c:pt idx="75" c:formatCode="General">
                  <c:v>159895.1299</c:v>
                </c:pt>
                <c:pt idx="76" c:formatCode="General">
                  <c:v>166978.8075</c:v>
                </c:pt>
                <c:pt idx="77" c:formatCode="General">
                  <c:v>195642.5736</c:v>
                </c:pt>
                <c:pt idx="78" c:formatCode="General">
                  <c:v>243970.3589</c:v>
                </c:pt>
                <c:pt idx="79" c:formatCode="General">
                  <c:v>238951.8893</c:v>
                </c:pt>
                <c:pt idx="80" c:formatCode="General">
                  <c:v>194646.9966</c:v>
                </c:pt>
                <c:pt idx="81" c:formatCode="General">
                  <c:v>157572.2132</c:v>
                </c:pt>
                <c:pt idx="82" c:formatCode="General">
                  <c:v>160825.186</c:v>
                </c:pt>
                <c:pt idx="83" c:formatCode="General">
                  <c:v>191091.89</c:v>
                </c:pt>
                <c:pt idx="84" c:formatCode="General">
                  <c:v>200678.3641</c:v>
                </c:pt>
                <c:pt idx="85" c:formatCode="General">
                  <c:v>152027.6848</c:v>
                </c:pt>
                <c:pt idx="86" c:formatCode="General">
                  <c:v>170586.4219</c:v>
                </c:pt>
                <c:pt idx="87" c:formatCode="General">
                  <c:v>162294.7271</c:v>
                </c:pt>
                <c:pt idx="88" c:formatCode="General">
                  <c:v>190320.9286</c:v>
                </c:pt>
                <c:pt idx="89" c:formatCode="General">
                  <c:v>202813.7474</c:v>
                </c:pt>
                <c:pt idx="90" c:formatCode="General">
                  <c:v>240454.3384</c:v>
                </c:pt>
                <c:pt idx="91" c:formatCode="General">
                  <c:v>280325.3872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021801"/>
        <c:axId val="624955683"/>
      </c:lineChart>
      <c:dateAx>
        <c:axId val="280218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4955683"/>
        <c:crosses val="autoZero"/>
        <c:auto val="1"/>
        <c:lblAlgn val="ctr"/>
        <c:lblOffset val="100"/>
        <c:baseTimeUnit val="days"/>
      </c:dateAx>
      <c:valAx>
        <c:axId val="6249556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0218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售电量</a:t>
            </a:r>
          </a:p>
        </c:rich>
      </c:tx>
      <c:layout>
        <c:manualLayout>
          <c:xMode val="edge"/>
          <c:yMode val="edge"/>
          <c:x val="0.398947368421053"/>
          <c:y val="0.03055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农业!$E$1</c:f>
              <c:strCache>
                <c:ptCount val="1"/>
                <c:pt idx="0">
                  <c:v>售电量预测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农业!$A$2:$A$97</c:f>
              <c:strCache>
                <c:ptCount val="96"/>
                <c:pt idx="0" c:formatCode="yyyy&quot;年&quot;m&quot;月&quot;;@">
                  <c:v>2017年1月</c:v>
                </c:pt>
                <c:pt idx="1" c:formatCode="yyyy&quot;年&quot;m&quot;月&quot;;@">
                  <c:v>2017年2月</c:v>
                </c:pt>
                <c:pt idx="2" c:formatCode="yyyy&quot;年&quot;m&quot;月&quot;;@">
                  <c:v>2017年3月</c:v>
                </c:pt>
                <c:pt idx="3" c:formatCode="yyyy&quot;年&quot;m&quot;月&quot;;@">
                  <c:v>2017年4月</c:v>
                </c:pt>
                <c:pt idx="4" c:formatCode="yyyy&quot;年&quot;m&quot;月&quot;;@">
                  <c:v>2017年5月</c:v>
                </c:pt>
                <c:pt idx="5" c:formatCode="yyyy&quot;年&quot;m&quot;月&quot;;@">
                  <c:v>2017年6月</c:v>
                </c:pt>
                <c:pt idx="6" c:formatCode="yyyy&quot;年&quot;m&quot;月&quot;;@">
                  <c:v>2017年7月</c:v>
                </c:pt>
                <c:pt idx="7" c:formatCode="yyyy&quot;年&quot;m&quot;月&quot;;@">
                  <c:v>2017年8月</c:v>
                </c:pt>
                <c:pt idx="8" c:formatCode="yyyy&quot;年&quot;m&quot;月&quot;;@">
                  <c:v>2017年9月</c:v>
                </c:pt>
                <c:pt idx="9" c:formatCode="yyyy&quot;年&quot;m&quot;月&quot;;@">
                  <c:v>2017年10月</c:v>
                </c:pt>
                <c:pt idx="10" c:formatCode="yyyy&quot;年&quot;m&quot;月&quot;;@">
                  <c:v>2017年11月</c:v>
                </c:pt>
                <c:pt idx="11" c:formatCode="yyyy&quot;年&quot;m&quot;月&quot;;@">
                  <c:v>2017年12月</c:v>
                </c:pt>
                <c:pt idx="12" c:formatCode="yyyy&quot;年&quot;m&quot;月&quot;;@">
                  <c:v>2018年1月</c:v>
                </c:pt>
                <c:pt idx="13" c:formatCode="yyyy&quot;年&quot;m&quot;月&quot;;@">
                  <c:v>2018年2月</c:v>
                </c:pt>
                <c:pt idx="14" c:formatCode="yyyy&quot;年&quot;m&quot;月&quot;;@">
                  <c:v>2018年3月</c:v>
                </c:pt>
                <c:pt idx="15" c:formatCode="yyyy&quot;年&quot;m&quot;月&quot;;@">
                  <c:v>2018年4月</c:v>
                </c:pt>
                <c:pt idx="16" c:formatCode="yyyy&quot;年&quot;m&quot;月&quot;;@">
                  <c:v>2018年5月</c:v>
                </c:pt>
                <c:pt idx="17" c:formatCode="yyyy&quot;年&quot;m&quot;月&quot;;@">
                  <c:v>2018年6月</c:v>
                </c:pt>
                <c:pt idx="18" c:formatCode="yyyy&quot;年&quot;m&quot;月&quot;;@">
                  <c:v>2018年7月</c:v>
                </c:pt>
                <c:pt idx="19" c:formatCode="yyyy&quot;年&quot;m&quot;月&quot;;@">
                  <c:v>2018年8月</c:v>
                </c:pt>
                <c:pt idx="20" c:formatCode="yyyy&quot;年&quot;m&quot;月&quot;;@">
                  <c:v>2018年9月</c:v>
                </c:pt>
                <c:pt idx="21" c:formatCode="yyyy&quot;年&quot;m&quot;月&quot;;@">
                  <c:v>2018年10月</c:v>
                </c:pt>
                <c:pt idx="22" c:formatCode="yyyy&quot;年&quot;m&quot;月&quot;;@">
                  <c:v>2018年11月</c:v>
                </c:pt>
                <c:pt idx="23" c:formatCode="yyyy&quot;年&quot;m&quot;月&quot;;@">
                  <c:v>2018年12月</c:v>
                </c:pt>
                <c:pt idx="24" c:formatCode="yyyy&quot;年&quot;m&quot;月&quot;;@">
                  <c:v>2019年1月</c:v>
                </c:pt>
                <c:pt idx="25" c:formatCode="yyyy&quot;年&quot;m&quot;月&quot;;@">
                  <c:v>2019年2月</c:v>
                </c:pt>
                <c:pt idx="26" c:formatCode="yyyy&quot;年&quot;m&quot;月&quot;;@">
                  <c:v>2019年3月</c:v>
                </c:pt>
                <c:pt idx="27" c:formatCode="yyyy&quot;年&quot;m&quot;月&quot;;@">
                  <c:v>2019年4月</c:v>
                </c:pt>
                <c:pt idx="28" c:formatCode="yyyy&quot;年&quot;m&quot;月&quot;;@">
                  <c:v>2019年5月</c:v>
                </c:pt>
                <c:pt idx="29" c:formatCode="yyyy&quot;年&quot;m&quot;月&quot;;@">
                  <c:v>2019年6月</c:v>
                </c:pt>
                <c:pt idx="30" c:formatCode="yyyy&quot;年&quot;m&quot;月&quot;;@">
                  <c:v>2019年7月</c:v>
                </c:pt>
                <c:pt idx="31" c:formatCode="yyyy&quot;年&quot;m&quot;月&quot;;@">
                  <c:v>2019年8月</c:v>
                </c:pt>
                <c:pt idx="32" c:formatCode="yyyy&quot;年&quot;m&quot;月&quot;;@">
                  <c:v>2019年9月</c:v>
                </c:pt>
                <c:pt idx="33" c:formatCode="yyyy&quot;年&quot;m&quot;月&quot;;@">
                  <c:v>2019年10月</c:v>
                </c:pt>
                <c:pt idx="34" c:formatCode="yyyy&quot;年&quot;m&quot;月&quot;;@">
                  <c:v>2019年11月</c:v>
                </c:pt>
                <c:pt idx="35" c:formatCode="yyyy&quot;年&quot;m&quot;月&quot;;@">
                  <c:v>2019年12月</c:v>
                </c:pt>
                <c:pt idx="36" c:formatCode="yyyy&quot;年&quot;m&quot;月&quot;;@">
                  <c:v>2020年1月</c:v>
                </c:pt>
                <c:pt idx="37" c:formatCode="yyyy&quot;年&quot;m&quot;月&quot;;@">
                  <c:v>2020年2月</c:v>
                </c:pt>
                <c:pt idx="38" c:formatCode="yyyy&quot;年&quot;m&quot;月&quot;;@">
                  <c:v>2020年3月</c:v>
                </c:pt>
                <c:pt idx="39" c:formatCode="yyyy&quot;年&quot;m&quot;月&quot;;@">
                  <c:v>2020年4月</c:v>
                </c:pt>
                <c:pt idx="40" c:formatCode="yyyy&quot;年&quot;m&quot;月&quot;;@">
                  <c:v>2020年5月</c:v>
                </c:pt>
                <c:pt idx="41" c:formatCode="yyyy&quot;年&quot;m&quot;月&quot;;@">
                  <c:v>2020年6月</c:v>
                </c:pt>
                <c:pt idx="42" c:formatCode="yyyy&quot;年&quot;m&quot;月&quot;;@">
                  <c:v>2020年7月</c:v>
                </c:pt>
                <c:pt idx="43" c:formatCode="yyyy&quot;年&quot;m&quot;月&quot;;@">
                  <c:v>2020年8月</c:v>
                </c:pt>
                <c:pt idx="44" c:formatCode="yyyy&quot;年&quot;m&quot;月&quot;;@">
                  <c:v>2020年9月</c:v>
                </c:pt>
                <c:pt idx="45" c:formatCode="yyyy&quot;年&quot;m&quot;月&quot;;@">
                  <c:v>2020年10月</c:v>
                </c:pt>
                <c:pt idx="46" c:formatCode="yyyy&quot;年&quot;m&quot;月&quot;;@">
                  <c:v>2020年11月</c:v>
                </c:pt>
                <c:pt idx="47" c:formatCode="yyyy&quot;年&quot;m&quot;月&quot;;@">
                  <c:v>2020年12月</c:v>
                </c:pt>
                <c:pt idx="48" c:formatCode="yyyy&quot;年&quot;m&quot;月&quot;;@">
                  <c:v>2021年1月</c:v>
                </c:pt>
                <c:pt idx="49" c:formatCode="yyyy&quot;年&quot;m&quot;月&quot;;@">
                  <c:v>2021年2月</c:v>
                </c:pt>
                <c:pt idx="50" c:formatCode="yyyy&quot;年&quot;m&quot;月&quot;;@">
                  <c:v>2021年3月</c:v>
                </c:pt>
                <c:pt idx="51" c:formatCode="yyyy&quot;年&quot;m&quot;月&quot;;@">
                  <c:v>2021年4月</c:v>
                </c:pt>
                <c:pt idx="52" c:formatCode="yyyy&quot;年&quot;m&quot;月&quot;;@">
                  <c:v>2021年5月</c:v>
                </c:pt>
                <c:pt idx="53" c:formatCode="yyyy&quot;年&quot;m&quot;月&quot;;@">
                  <c:v>2021年6月</c:v>
                </c:pt>
                <c:pt idx="54" c:formatCode="yyyy&quot;年&quot;m&quot;月&quot;;@">
                  <c:v>2021年7月</c:v>
                </c:pt>
                <c:pt idx="55" c:formatCode="yyyy&quot;年&quot;m&quot;月&quot;;@">
                  <c:v>2021年8月</c:v>
                </c:pt>
                <c:pt idx="56" c:formatCode="yyyy&quot;年&quot;m&quot;月&quot;;@">
                  <c:v>2021年9月</c:v>
                </c:pt>
                <c:pt idx="57" c:formatCode="yyyy&quot;年&quot;m&quot;月&quot;;@">
                  <c:v>2021年10月</c:v>
                </c:pt>
                <c:pt idx="58" c:formatCode="yyyy&quot;年&quot;m&quot;月&quot;;@">
                  <c:v>2021年11月</c:v>
                </c:pt>
                <c:pt idx="59" c:formatCode="yyyy&quot;年&quot;m&quot;月&quot;;@">
                  <c:v>2021年12月</c:v>
                </c:pt>
                <c:pt idx="60" c:formatCode="yyyy&quot;年&quot;m&quot;月&quot;;@">
                  <c:v>2022年1月</c:v>
                </c:pt>
                <c:pt idx="61" c:formatCode="yyyy&quot;年&quot;m&quot;月&quot;;@">
                  <c:v>2022年2月</c:v>
                </c:pt>
                <c:pt idx="62" c:formatCode="yyyy&quot;年&quot;m&quot;月&quot;;@">
                  <c:v>2022年3月</c:v>
                </c:pt>
                <c:pt idx="63" c:formatCode="yyyy&quot;年&quot;m&quot;月&quot;;@">
                  <c:v>2022年4月</c:v>
                </c:pt>
                <c:pt idx="64" c:formatCode="yyyy&quot;年&quot;m&quot;月&quot;;@">
                  <c:v>2022年5月</c:v>
                </c:pt>
                <c:pt idx="65" c:formatCode="yyyy&quot;年&quot;m&quot;月&quot;;@">
                  <c:v>2022年6月</c:v>
                </c:pt>
                <c:pt idx="66" c:formatCode="yyyy&quot;年&quot;m&quot;月&quot;;@">
                  <c:v>2022年7月</c:v>
                </c:pt>
                <c:pt idx="67" c:formatCode="yyyy&quot;年&quot;m&quot;月&quot;;@">
                  <c:v>2022年8月</c:v>
                </c:pt>
                <c:pt idx="68" c:formatCode="yyyy&quot;年&quot;m&quot;月&quot;;@">
                  <c:v>2022年9月</c:v>
                </c:pt>
                <c:pt idx="69" c:formatCode="yyyy&quot;年&quot;m&quot;月&quot;;@">
                  <c:v>2022年10月</c:v>
                </c:pt>
                <c:pt idx="70" c:formatCode="yyyy&quot;年&quot;m&quot;月&quot;;@">
                  <c:v>2022年11月</c:v>
                </c:pt>
                <c:pt idx="71" c:formatCode="yyyy&quot;年&quot;m&quot;月&quot;;@">
                  <c:v>2022年12月</c:v>
                </c:pt>
                <c:pt idx="72" c:formatCode="yyyy&quot;年&quot;m&quot;月&quot;;@">
                  <c:v>2023年1月</c:v>
                </c:pt>
                <c:pt idx="73" c:formatCode="yyyy&quot;年&quot;m&quot;月&quot;;@">
                  <c:v>2023年2月</c:v>
                </c:pt>
                <c:pt idx="74" c:formatCode="yyyy&quot;年&quot;m&quot;月&quot;;@">
                  <c:v>2023年3月</c:v>
                </c:pt>
                <c:pt idx="75" c:formatCode="yyyy&quot;年&quot;m&quot;月&quot;;@">
                  <c:v>2023年4月</c:v>
                </c:pt>
                <c:pt idx="76" c:formatCode="yyyy&quot;年&quot;m&quot;月&quot;;@">
                  <c:v>2023年5月</c:v>
                </c:pt>
                <c:pt idx="77" c:formatCode="yyyy&quot;年&quot;m&quot;月&quot;;@">
                  <c:v>2023年6月</c:v>
                </c:pt>
                <c:pt idx="78" c:formatCode="yyyy&quot;年&quot;m&quot;月&quot;;@">
                  <c:v>2023年7月</c:v>
                </c:pt>
                <c:pt idx="79" c:formatCode="yyyy&quot;年&quot;m&quot;月&quot;;@">
                  <c:v>2023年8月</c:v>
                </c:pt>
                <c:pt idx="80" c:formatCode="yyyy&quot;年&quot;m&quot;月&quot;;@">
                  <c:v>2023年9月</c:v>
                </c:pt>
                <c:pt idx="81" c:formatCode="yyyy&quot;年&quot;m&quot;月&quot;;@">
                  <c:v>2023年10月</c:v>
                </c:pt>
                <c:pt idx="82" c:formatCode="yyyy&quot;年&quot;m&quot;月&quot;;@">
                  <c:v>2023年11月</c:v>
                </c:pt>
                <c:pt idx="83" c:formatCode="yyyy&quot;年&quot;m&quot;月&quot;;@">
                  <c:v>2023年12月</c:v>
                </c:pt>
                <c:pt idx="84">
                  <c:v>2024/1月</c:v>
                </c:pt>
                <c:pt idx="85">
                  <c:v>2024/2月</c:v>
                </c:pt>
                <c:pt idx="86">
                  <c:v>2024/3月</c:v>
                </c:pt>
                <c:pt idx="87">
                  <c:v>2024/4月</c:v>
                </c:pt>
                <c:pt idx="88">
                  <c:v>2024/5月</c:v>
                </c:pt>
                <c:pt idx="89">
                  <c:v>2024/6月</c:v>
                </c:pt>
                <c:pt idx="90">
                  <c:v>2024/7月</c:v>
                </c:pt>
                <c:pt idx="91">
                  <c:v>2024/8月</c:v>
                </c:pt>
                <c:pt idx="92">
                  <c:v>2024/9月</c:v>
                </c:pt>
                <c:pt idx="93">
                  <c:v>2024/10月</c:v>
                </c:pt>
                <c:pt idx="94">
                  <c:v>2024/11月</c:v>
                </c:pt>
                <c:pt idx="95">
                  <c:v>2024/12月</c:v>
                </c:pt>
              </c:strCache>
            </c:strRef>
          </c:cat>
          <c:val>
            <c:numRef>
              <c:f>农业!$E$2:$E$97</c:f>
              <c:numCache>
                <c:formatCode>0.0000_);[Red]\(0.0000\)</c:formatCode>
                <c:ptCount val="96"/>
                <c:pt idx="0">
                  <c:v>1905.8074</c:v>
                </c:pt>
                <c:pt idx="1">
                  <c:v>1859.6599</c:v>
                </c:pt>
                <c:pt idx="2">
                  <c:v>1853.0115</c:v>
                </c:pt>
                <c:pt idx="3">
                  <c:v>2003.6547</c:v>
                </c:pt>
                <c:pt idx="4">
                  <c:v>2227.28239999999</c:v>
                </c:pt>
                <c:pt idx="5">
                  <c:v>3319.8793</c:v>
                </c:pt>
                <c:pt idx="6">
                  <c:v>2871.82420000002</c:v>
                </c:pt>
                <c:pt idx="7">
                  <c:v>3004.10260000002</c:v>
                </c:pt>
                <c:pt idx="8">
                  <c:v>2651.2455</c:v>
                </c:pt>
                <c:pt idx="9">
                  <c:v>2363.79120000001</c:v>
                </c:pt>
                <c:pt idx="10">
                  <c:v>2197.9348</c:v>
                </c:pt>
                <c:pt idx="11">
                  <c:v>2078.3282</c:v>
                </c:pt>
                <c:pt idx="12">
                  <c:v>2237.2536</c:v>
                </c:pt>
                <c:pt idx="13">
                  <c:v>2357.64729999999</c:v>
                </c:pt>
                <c:pt idx="14">
                  <c:v>2094.0893</c:v>
                </c:pt>
                <c:pt idx="15">
                  <c:v>2539.96779999999</c:v>
                </c:pt>
                <c:pt idx="16">
                  <c:v>2769.00160000002</c:v>
                </c:pt>
                <c:pt idx="17">
                  <c:v>3401.96779999998</c:v>
                </c:pt>
                <c:pt idx="18">
                  <c:v>2731.44630000001</c:v>
                </c:pt>
                <c:pt idx="19">
                  <c:v>2993.1173</c:v>
                </c:pt>
                <c:pt idx="20">
                  <c:v>3369.16520000001</c:v>
                </c:pt>
                <c:pt idx="21">
                  <c:v>2503.5078</c:v>
                </c:pt>
                <c:pt idx="22">
                  <c:v>2303.17</c:v>
                </c:pt>
                <c:pt idx="23">
                  <c:v>2257.07180000001</c:v>
                </c:pt>
                <c:pt idx="24">
                  <c:v>2423.697</c:v>
                </c:pt>
                <c:pt idx="25">
                  <c:v>2350.1664</c:v>
                </c:pt>
                <c:pt idx="26">
                  <c:v>2115.1096</c:v>
                </c:pt>
                <c:pt idx="27">
                  <c:v>2434.4914</c:v>
                </c:pt>
                <c:pt idx="28">
                  <c:v>2780.14910000001</c:v>
                </c:pt>
                <c:pt idx="29">
                  <c:v>3367.2023</c:v>
                </c:pt>
                <c:pt idx="30">
                  <c:v>2944.61659999999</c:v>
                </c:pt>
                <c:pt idx="31">
                  <c:v>2914.11419999999</c:v>
                </c:pt>
                <c:pt idx="32">
                  <c:v>3187.47469999999</c:v>
                </c:pt>
                <c:pt idx="33">
                  <c:v>2647.43109999999</c:v>
                </c:pt>
                <c:pt idx="34">
                  <c:v>2395.15889999999</c:v>
                </c:pt>
                <c:pt idx="35">
                  <c:v>2075.4948</c:v>
                </c:pt>
                <c:pt idx="36">
                  <c:v>2132.5406</c:v>
                </c:pt>
                <c:pt idx="37">
                  <c:v>1980.324</c:v>
                </c:pt>
                <c:pt idx="38">
                  <c:v>2023.5224</c:v>
                </c:pt>
                <c:pt idx="39">
                  <c:v>2601.9644</c:v>
                </c:pt>
                <c:pt idx="40">
                  <c:v>3084.9693</c:v>
                </c:pt>
                <c:pt idx="41">
                  <c:v>4318.76490000002</c:v>
                </c:pt>
                <c:pt idx="42">
                  <c:v>3458.69539999999</c:v>
                </c:pt>
                <c:pt idx="43">
                  <c:v>3395.5772</c:v>
                </c:pt>
                <c:pt idx="44">
                  <c:v>4105.00400000002</c:v>
                </c:pt>
                <c:pt idx="45">
                  <c:v>2889.3067</c:v>
                </c:pt>
                <c:pt idx="46">
                  <c:v>2775.3732</c:v>
                </c:pt>
                <c:pt idx="47">
                  <c:v>2703.58820000001</c:v>
                </c:pt>
                <c:pt idx="48">
                  <c:v>2915.52139999999</c:v>
                </c:pt>
                <c:pt idx="49">
                  <c:v>2839.4238</c:v>
                </c:pt>
                <c:pt idx="50">
                  <c:v>2852.4524</c:v>
                </c:pt>
                <c:pt idx="51">
                  <c:v>3543.04420000001</c:v>
                </c:pt>
                <c:pt idx="52">
                  <c:v>4145.70909999999</c:v>
                </c:pt>
                <c:pt idx="53">
                  <c:v>4640.01</c:v>
                </c:pt>
                <c:pt idx="54">
                  <c:v>4611.41890000001</c:v>
                </c:pt>
                <c:pt idx="55">
                  <c:v>5850.0922</c:v>
                </c:pt>
                <c:pt idx="56">
                  <c:v>4428.94330000001</c:v>
                </c:pt>
                <c:pt idx="57">
                  <c:v>3726.039</c:v>
                </c:pt>
                <c:pt idx="58">
                  <c:v>3427.3101</c:v>
                </c:pt>
                <c:pt idx="59">
                  <c:v>3282.5224</c:v>
                </c:pt>
                <c:pt idx="60">
                  <c:v>3406.0964</c:v>
                </c:pt>
                <c:pt idx="61">
                  <c:v>3182.68399999999</c:v>
                </c:pt>
                <c:pt idx="62">
                  <c:v>3365.91270000001</c:v>
                </c:pt>
                <c:pt idx="63">
                  <c:v>3717.4927</c:v>
                </c:pt>
                <c:pt idx="64">
                  <c:v>4126.4957</c:v>
                </c:pt>
                <c:pt idx="65">
                  <c:v>4827.14620000002</c:v>
                </c:pt>
                <c:pt idx="66">
                  <c:v>5617.3658</c:v>
                </c:pt>
                <c:pt idx="67">
                  <c:v>6579.73700000001</c:v>
                </c:pt>
                <c:pt idx="68">
                  <c:v>4662.77590000001</c:v>
                </c:pt>
                <c:pt idx="69">
                  <c:v>4071.131</c:v>
                </c:pt>
                <c:pt idx="70">
                  <c:v>3877.73259999999</c:v>
                </c:pt>
                <c:pt idx="71">
                  <c:v>3671.98299999999</c:v>
                </c:pt>
                <c:pt idx="72">
                  <c:v>3662.22850000001</c:v>
                </c:pt>
                <c:pt idx="73">
                  <c:v>3902.47599999999</c:v>
                </c:pt>
                <c:pt idx="74">
                  <c:v>3945.4609</c:v>
                </c:pt>
                <c:pt idx="75">
                  <c:v>4715.8801</c:v>
                </c:pt>
                <c:pt idx="76">
                  <c:v>5840.2325</c:v>
                </c:pt>
                <c:pt idx="77">
                  <c:v>6312.96920000002</c:v>
                </c:pt>
                <c:pt idx="78">
                  <c:v>6497.43809999997</c:v>
                </c:pt>
                <c:pt idx="79">
                  <c:v>5894.8311</c:v>
                </c:pt>
                <c:pt idx="80">
                  <c:v>5302.47270000002</c:v>
                </c:pt>
                <c:pt idx="81">
                  <c:v>4576.76959999999</c:v>
                </c:pt>
                <c:pt idx="82">
                  <c:v>4069.1681</c:v>
                </c:pt>
                <c:pt idx="83">
                  <c:v>4184.97250000001</c:v>
                </c:pt>
                <c:pt idx="84">
                  <c:v>4140.84879389079</c:v>
                </c:pt>
                <c:pt idx="85">
                  <c:v>3940.48822335082</c:v>
                </c:pt>
                <c:pt idx="86">
                  <c:v>3962.10682672629</c:v>
                </c:pt>
                <c:pt idx="87">
                  <c:v>4711.57495073994</c:v>
                </c:pt>
                <c:pt idx="88">
                  <c:v>5588.01129650052</c:v>
                </c:pt>
                <c:pt idx="89">
                  <c:v>6215.33841913902</c:v>
                </c:pt>
                <c:pt idx="90">
                  <c:v>6231.39384340026</c:v>
                </c:pt>
                <c:pt idx="91">
                  <c:v>6226.94800623302</c:v>
                </c:pt>
                <c:pt idx="92">
                  <c:v>5578.32101285955</c:v>
                </c:pt>
                <c:pt idx="93">
                  <c:v>4631.44403653062</c:v>
                </c:pt>
                <c:pt idx="94">
                  <c:v>4261.77794349928</c:v>
                </c:pt>
                <c:pt idx="95">
                  <c:v>4159.94413067165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农业!$F$1</c:f>
              <c:strCache>
                <c:ptCount val="1"/>
                <c:pt idx="0">
                  <c:v>历史售电量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农业!$A$2:$A$97</c:f>
              <c:strCache>
                <c:ptCount val="96"/>
                <c:pt idx="0" c:formatCode="yyyy&quot;年&quot;m&quot;月&quot;;@">
                  <c:v>2017年1月</c:v>
                </c:pt>
                <c:pt idx="1" c:formatCode="yyyy&quot;年&quot;m&quot;月&quot;;@">
                  <c:v>2017年2月</c:v>
                </c:pt>
                <c:pt idx="2" c:formatCode="yyyy&quot;年&quot;m&quot;月&quot;;@">
                  <c:v>2017年3月</c:v>
                </c:pt>
                <c:pt idx="3" c:formatCode="yyyy&quot;年&quot;m&quot;月&quot;;@">
                  <c:v>2017年4月</c:v>
                </c:pt>
                <c:pt idx="4" c:formatCode="yyyy&quot;年&quot;m&quot;月&quot;;@">
                  <c:v>2017年5月</c:v>
                </c:pt>
                <c:pt idx="5" c:formatCode="yyyy&quot;年&quot;m&quot;月&quot;;@">
                  <c:v>2017年6月</c:v>
                </c:pt>
                <c:pt idx="6" c:formatCode="yyyy&quot;年&quot;m&quot;月&quot;;@">
                  <c:v>2017年7月</c:v>
                </c:pt>
                <c:pt idx="7" c:formatCode="yyyy&quot;年&quot;m&quot;月&quot;;@">
                  <c:v>2017年8月</c:v>
                </c:pt>
                <c:pt idx="8" c:formatCode="yyyy&quot;年&quot;m&quot;月&quot;;@">
                  <c:v>2017年9月</c:v>
                </c:pt>
                <c:pt idx="9" c:formatCode="yyyy&quot;年&quot;m&quot;月&quot;;@">
                  <c:v>2017年10月</c:v>
                </c:pt>
                <c:pt idx="10" c:formatCode="yyyy&quot;年&quot;m&quot;月&quot;;@">
                  <c:v>2017年11月</c:v>
                </c:pt>
                <c:pt idx="11" c:formatCode="yyyy&quot;年&quot;m&quot;月&quot;;@">
                  <c:v>2017年12月</c:v>
                </c:pt>
                <c:pt idx="12" c:formatCode="yyyy&quot;年&quot;m&quot;月&quot;;@">
                  <c:v>2018年1月</c:v>
                </c:pt>
                <c:pt idx="13" c:formatCode="yyyy&quot;年&quot;m&quot;月&quot;;@">
                  <c:v>2018年2月</c:v>
                </c:pt>
                <c:pt idx="14" c:formatCode="yyyy&quot;年&quot;m&quot;月&quot;;@">
                  <c:v>2018年3月</c:v>
                </c:pt>
                <c:pt idx="15" c:formatCode="yyyy&quot;年&quot;m&quot;月&quot;;@">
                  <c:v>2018年4月</c:v>
                </c:pt>
                <c:pt idx="16" c:formatCode="yyyy&quot;年&quot;m&quot;月&quot;;@">
                  <c:v>2018年5月</c:v>
                </c:pt>
                <c:pt idx="17" c:formatCode="yyyy&quot;年&quot;m&quot;月&quot;;@">
                  <c:v>2018年6月</c:v>
                </c:pt>
                <c:pt idx="18" c:formatCode="yyyy&quot;年&quot;m&quot;月&quot;;@">
                  <c:v>2018年7月</c:v>
                </c:pt>
                <c:pt idx="19" c:formatCode="yyyy&quot;年&quot;m&quot;月&quot;;@">
                  <c:v>2018年8月</c:v>
                </c:pt>
                <c:pt idx="20" c:formatCode="yyyy&quot;年&quot;m&quot;月&quot;;@">
                  <c:v>2018年9月</c:v>
                </c:pt>
                <c:pt idx="21" c:formatCode="yyyy&quot;年&quot;m&quot;月&quot;;@">
                  <c:v>2018年10月</c:v>
                </c:pt>
                <c:pt idx="22" c:formatCode="yyyy&quot;年&quot;m&quot;月&quot;;@">
                  <c:v>2018年11月</c:v>
                </c:pt>
                <c:pt idx="23" c:formatCode="yyyy&quot;年&quot;m&quot;月&quot;;@">
                  <c:v>2018年12月</c:v>
                </c:pt>
                <c:pt idx="24" c:formatCode="yyyy&quot;年&quot;m&quot;月&quot;;@">
                  <c:v>2019年1月</c:v>
                </c:pt>
                <c:pt idx="25" c:formatCode="yyyy&quot;年&quot;m&quot;月&quot;;@">
                  <c:v>2019年2月</c:v>
                </c:pt>
                <c:pt idx="26" c:formatCode="yyyy&quot;年&quot;m&quot;月&quot;;@">
                  <c:v>2019年3月</c:v>
                </c:pt>
                <c:pt idx="27" c:formatCode="yyyy&quot;年&quot;m&quot;月&quot;;@">
                  <c:v>2019年4月</c:v>
                </c:pt>
                <c:pt idx="28" c:formatCode="yyyy&quot;年&quot;m&quot;月&quot;;@">
                  <c:v>2019年5月</c:v>
                </c:pt>
                <c:pt idx="29" c:formatCode="yyyy&quot;年&quot;m&quot;月&quot;;@">
                  <c:v>2019年6月</c:v>
                </c:pt>
                <c:pt idx="30" c:formatCode="yyyy&quot;年&quot;m&quot;月&quot;;@">
                  <c:v>2019年7月</c:v>
                </c:pt>
                <c:pt idx="31" c:formatCode="yyyy&quot;年&quot;m&quot;月&quot;;@">
                  <c:v>2019年8月</c:v>
                </c:pt>
                <c:pt idx="32" c:formatCode="yyyy&quot;年&quot;m&quot;月&quot;;@">
                  <c:v>2019年9月</c:v>
                </c:pt>
                <c:pt idx="33" c:formatCode="yyyy&quot;年&quot;m&quot;月&quot;;@">
                  <c:v>2019年10月</c:v>
                </c:pt>
                <c:pt idx="34" c:formatCode="yyyy&quot;年&quot;m&quot;月&quot;;@">
                  <c:v>2019年11月</c:v>
                </c:pt>
                <c:pt idx="35" c:formatCode="yyyy&quot;年&quot;m&quot;月&quot;;@">
                  <c:v>2019年12月</c:v>
                </c:pt>
                <c:pt idx="36" c:formatCode="yyyy&quot;年&quot;m&quot;月&quot;;@">
                  <c:v>2020年1月</c:v>
                </c:pt>
                <c:pt idx="37" c:formatCode="yyyy&quot;年&quot;m&quot;月&quot;;@">
                  <c:v>2020年2月</c:v>
                </c:pt>
                <c:pt idx="38" c:formatCode="yyyy&quot;年&quot;m&quot;月&quot;;@">
                  <c:v>2020年3月</c:v>
                </c:pt>
                <c:pt idx="39" c:formatCode="yyyy&quot;年&quot;m&quot;月&quot;;@">
                  <c:v>2020年4月</c:v>
                </c:pt>
                <c:pt idx="40" c:formatCode="yyyy&quot;年&quot;m&quot;月&quot;;@">
                  <c:v>2020年5月</c:v>
                </c:pt>
                <c:pt idx="41" c:formatCode="yyyy&quot;年&quot;m&quot;月&quot;;@">
                  <c:v>2020年6月</c:v>
                </c:pt>
                <c:pt idx="42" c:formatCode="yyyy&quot;年&quot;m&quot;月&quot;;@">
                  <c:v>2020年7月</c:v>
                </c:pt>
                <c:pt idx="43" c:formatCode="yyyy&quot;年&quot;m&quot;月&quot;;@">
                  <c:v>2020年8月</c:v>
                </c:pt>
                <c:pt idx="44" c:formatCode="yyyy&quot;年&quot;m&quot;月&quot;;@">
                  <c:v>2020年9月</c:v>
                </c:pt>
                <c:pt idx="45" c:formatCode="yyyy&quot;年&quot;m&quot;月&quot;;@">
                  <c:v>2020年10月</c:v>
                </c:pt>
                <c:pt idx="46" c:formatCode="yyyy&quot;年&quot;m&quot;月&quot;;@">
                  <c:v>2020年11月</c:v>
                </c:pt>
                <c:pt idx="47" c:formatCode="yyyy&quot;年&quot;m&quot;月&quot;;@">
                  <c:v>2020年12月</c:v>
                </c:pt>
                <c:pt idx="48" c:formatCode="yyyy&quot;年&quot;m&quot;月&quot;;@">
                  <c:v>2021年1月</c:v>
                </c:pt>
                <c:pt idx="49" c:formatCode="yyyy&quot;年&quot;m&quot;月&quot;;@">
                  <c:v>2021年2月</c:v>
                </c:pt>
                <c:pt idx="50" c:formatCode="yyyy&quot;年&quot;m&quot;月&quot;;@">
                  <c:v>2021年3月</c:v>
                </c:pt>
                <c:pt idx="51" c:formatCode="yyyy&quot;年&quot;m&quot;月&quot;;@">
                  <c:v>2021年4月</c:v>
                </c:pt>
                <c:pt idx="52" c:formatCode="yyyy&quot;年&quot;m&quot;月&quot;;@">
                  <c:v>2021年5月</c:v>
                </c:pt>
                <c:pt idx="53" c:formatCode="yyyy&quot;年&quot;m&quot;月&quot;;@">
                  <c:v>2021年6月</c:v>
                </c:pt>
                <c:pt idx="54" c:formatCode="yyyy&quot;年&quot;m&quot;月&quot;;@">
                  <c:v>2021年7月</c:v>
                </c:pt>
                <c:pt idx="55" c:formatCode="yyyy&quot;年&quot;m&quot;月&quot;;@">
                  <c:v>2021年8月</c:v>
                </c:pt>
                <c:pt idx="56" c:formatCode="yyyy&quot;年&quot;m&quot;月&quot;;@">
                  <c:v>2021年9月</c:v>
                </c:pt>
                <c:pt idx="57" c:formatCode="yyyy&quot;年&quot;m&quot;月&quot;;@">
                  <c:v>2021年10月</c:v>
                </c:pt>
                <c:pt idx="58" c:formatCode="yyyy&quot;年&quot;m&quot;月&quot;;@">
                  <c:v>2021年11月</c:v>
                </c:pt>
                <c:pt idx="59" c:formatCode="yyyy&quot;年&quot;m&quot;月&quot;;@">
                  <c:v>2021年12月</c:v>
                </c:pt>
                <c:pt idx="60" c:formatCode="yyyy&quot;年&quot;m&quot;月&quot;;@">
                  <c:v>2022年1月</c:v>
                </c:pt>
                <c:pt idx="61" c:formatCode="yyyy&quot;年&quot;m&quot;月&quot;;@">
                  <c:v>2022年2月</c:v>
                </c:pt>
                <c:pt idx="62" c:formatCode="yyyy&quot;年&quot;m&quot;月&quot;;@">
                  <c:v>2022年3月</c:v>
                </c:pt>
                <c:pt idx="63" c:formatCode="yyyy&quot;年&quot;m&quot;月&quot;;@">
                  <c:v>2022年4月</c:v>
                </c:pt>
                <c:pt idx="64" c:formatCode="yyyy&quot;年&quot;m&quot;月&quot;;@">
                  <c:v>2022年5月</c:v>
                </c:pt>
                <c:pt idx="65" c:formatCode="yyyy&quot;年&quot;m&quot;月&quot;;@">
                  <c:v>2022年6月</c:v>
                </c:pt>
                <c:pt idx="66" c:formatCode="yyyy&quot;年&quot;m&quot;月&quot;;@">
                  <c:v>2022年7月</c:v>
                </c:pt>
                <c:pt idx="67" c:formatCode="yyyy&quot;年&quot;m&quot;月&quot;;@">
                  <c:v>2022年8月</c:v>
                </c:pt>
                <c:pt idx="68" c:formatCode="yyyy&quot;年&quot;m&quot;月&quot;;@">
                  <c:v>2022年9月</c:v>
                </c:pt>
                <c:pt idx="69" c:formatCode="yyyy&quot;年&quot;m&quot;月&quot;;@">
                  <c:v>2022年10月</c:v>
                </c:pt>
                <c:pt idx="70" c:formatCode="yyyy&quot;年&quot;m&quot;月&quot;;@">
                  <c:v>2022年11月</c:v>
                </c:pt>
                <c:pt idx="71" c:formatCode="yyyy&quot;年&quot;m&quot;月&quot;;@">
                  <c:v>2022年12月</c:v>
                </c:pt>
                <c:pt idx="72" c:formatCode="yyyy&quot;年&quot;m&quot;月&quot;;@">
                  <c:v>2023年1月</c:v>
                </c:pt>
                <c:pt idx="73" c:formatCode="yyyy&quot;年&quot;m&quot;月&quot;;@">
                  <c:v>2023年2月</c:v>
                </c:pt>
                <c:pt idx="74" c:formatCode="yyyy&quot;年&quot;m&quot;月&quot;;@">
                  <c:v>2023年3月</c:v>
                </c:pt>
                <c:pt idx="75" c:formatCode="yyyy&quot;年&quot;m&quot;月&quot;;@">
                  <c:v>2023年4月</c:v>
                </c:pt>
                <c:pt idx="76" c:formatCode="yyyy&quot;年&quot;m&quot;月&quot;;@">
                  <c:v>2023年5月</c:v>
                </c:pt>
                <c:pt idx="77" c:formatCode="yyyy&quot;年&quot;m&quot;月&quot;;@">
                  <c:v>2023年6月</c:v>
                </c:pt>
                <c:pt idx="78" c:formatCode="yyyy&quot;年&quot;m&quot;月&quot;;@">
                  <c:v>2023年7月</c:v>
                </c:pt>
                <c:pt idx="79" c:formatCode="yyyy&quot;年&quot;m&quot;月&quot;;@">
                  <c:v>2023年8月</c:v>
                </c:pt>
                <c:pt idx="80" c:formatCode="yyyy&quot;年&quot;m&quot;月&quot;;@">
                  <c:v>2023年9月</c:v>
                </c:pt>
                <c:pt idx="81" c:formatCode="yyyy&quot;年&quot;m&quot;月&quot;;@">
                  <c:v>2023年10月</c:v>
                </c:pt>
                <c:pt idx="82" c:formatCode="yyyy&quot;年&quot;m&quot;月&quot;;@">
                  <c:v>2023年11月</c:v>
                </c:pt>
                <c:pt idx="83" c:formatCode="yyyy&quot;年&quot;m&quot;月&quot;;@">
                  <c:v>2023年12月</c:v>
                </c:pt>
                <c:pt idx="84">
                  <c:v>2024/1月</c:v>
                </c:pt>
                <c:pt idx="85">
                  <c:v>2024/2月</c:v>
                </c:pt>
                <c:pt idx="86">
                  <c:v>2024/3月</c:v>
                </c:pt>
                <c:pt idx="87">
                  <c:v>2024/4月</c:v>
                </c:pt>
                <c:pt idx="88">
                  <c:v>2024/5月</c:v>
                </c:pt>
                <c:pt idx="89">
                  <c:v>2024/6月</c:v>
                </c:pt>
                <c:pt idx="90">
                  <c:v>2024/7月</c:v>
                </c:pt>
                <c:pt idx="91">
                  <c:v>2024/8月</c:v>
                </c:pt>
                <c:pt idx="92">
                  <c:v>2024/9月</c:v>
                </c:pt>
                <c:pt idx="93">
                  <c:v>2024/10月</c:v>
                </c:pt>
                <c:pt idx="94">
                  <c:v>2024/11月</c:v>
                </c:pt>
                <c:pt idx="95">
                  <c:v>2024/12月</c:v>
                </c:pt>
              </c:strCache>
            </c:strRef>
          </c:cat>
          <c:val>
            <c:numRef>
              <c:f>农业!$F$2:$F$97</c:f>
              <c:numCache>
                <c:formatCode>0.0000_);[Red]\(0.0000\)</c:formatCode>
                <c:ptCount val="96"/>
                <c:pt idx="0">
                  <c:v>1905.8074</c:v>
                </c:pt>
                <c:pt idx="1">
                  <c:v>1859.6599</c:v>
                </c:pt>
                <c:pt idx="2">
                  <c:v>1853.0115</c:v>
                </c:pt>
                <c:pt idx="3">
                  <c:v>2003.6547</c:v>
                </c:pt>
                <c:pt idx="4">
                  <c:v>2227.2824</c:v>
                </c:pt>
                <c:pt idx="5">
                  <c:v>3319.8793</c:v>
                </c:pt>
                <c:pt idx="6">
                  <c:v>2871.8242</c:v>
                </c:pt>
                <c:pt idx="7">
                  <c:v>3004.1026</c:v>
                </c:pt>
                <c:pt idx="8">
                  <c:v>2651.2455</c:v>
                </c:pt>
                <c:pt idx="9">
                  <c:v>2363.7912</c:v>
                </c:pt>
                <c:pt idx="10">
                  <c:v>2197.9348</c:v>
                </c:pt>
                <c:pt idx="11">
                  <c:v>2078.3282</c:v>
                </c:pt>
                <c:pt idx="12">
                  <c:v>2237.2536</c:v>
                </c:pt>
                <c:pt idx="13">
                  <c:v>2357.6473</c:v>
                </c:pt>
                <c:pt idx="14">
                  <c:v>2094.0893</c:v>
                </c:pt>
                <c:pt idx="15">
                  <c:v>2539.9678</c:v>
                </c:pt>
                <c:pt idx="16">
                  <c:v>2769.0016</c:v>
                </c:pt>
                <c:pt idx="17">
                  <c:v>3401.9678</c:v>
                </c:pt>
                <c:pt idx="18">
                  <c:v>2731.4463</c:v>
                </c:pt>
                <c:pt idx="19">
                  <c:v>2993.1173</c:v>
                </c:pt>
                <c:pt idx="20">
                  <c:v>3369.1652</c:v>
                </c:pt>
                <c:pt idx="21">
                  <c:v>2503.5078</c:v>
                </c:pt>
                <c:pt idx="22">
                  <c:v>2303.17</c:v>
                </c:pt>
                <c:pt idx="23">
                  <c:v>2257.0718</c:v>
                </c:pt>
                <c:pt idx="24">
                  <c:v>2423.697</c:v>
                </c:pt>
                <c:pt idx="25">
                  <c:v>2350.1664</c:v>
                </c:pt>
                <c:pt idx="26">
                  <c:v>2115.1096</c:v>
                </c:pt>
                <c:pt idx="27">
                  <c:v>2434.4914</c:v>
                </c:pt>
                <c:pt idx="28">
                  <c:v>2780.1491</c:v>
                </c:pt>
                <c:pt idx="29">
                  <c:v>3367.2023</c:v>
                </c:pt>
                <c:pt idx="30">
                  <c:v>2944.6166</c:v>
                </c:pt>
                <c:pt idx="31">
                  <c:v>2914.1142</c:v>
                </c:pt>
                <c:pt idx="32">
                  <c:v>3187.4747</c:v>
                </c:pt>
                <c:pt idx="33">
                  <c:v>2647.4311</c:v>
                </c:pt>
                <c:pt idx="34">
                  <c:v>2395.1589</c:v>
                </c:pt>
                <c:pt idx="35">
                  <c:v>2075.4948</c:v>
                </c:pt>
                <c:pt idx="36">
                  <c:v>2132.5406</c:v>
                </c:pt>
                <c:pt idx="37">
                  <c:v>1980.324</c:v>
                </c:pt>
                <c:pt idx="38">
                  <c:v>2023.5224</c:v>
                </c:pt>
                <c:pt idx="39">
                  <c:v>2601.9644</c:v>
                </c:pt>
                <c:pt idx="40">
                  <c:v>3084.9693</c:v>
                </c:pt>
                <c:pt idx="41">
                  <c:v>4318.7649</c:v>
                </c:pt>
                <c:pt idx="42">
                  <c:v>3458.6954</c:v>
                </c:pt>
                <c:pt idx="43">
                  <c:v>3395.5772</c:v>
                </c:pt>
                <c:pt idx="44">
                  <c:v>4105.004</c:v>
                </c:pt>
                <c:pt idx="45">
                  <c:v>2889.3067</c:v>
                </c:pt>
                <c:pt idx="46">
                  <c:v>2775.3732</c:v>
                </c:pt>
                <c:pt idx="47">
                  <c:v>2703.5882</c:v>
                </c:pt>
                <c:pt idx="48" c:formatCode="General">
                  <c:v>2915.5214</c:v>
                </c:pt>
                <c:pt idx="49" c:formatCode="General">
                  <c:v>2839.4238</c:v>
                </c:pt>
                <c:pt idx="50" c:formatCode="General">
                  <c:v>2852.4524</c:v>
                </c:pt>
                <c:pt idx="51" c:formatCode="General">
                  <c:v>3543.0442</c:v>
                </c:pt>
                <c:pt idx="52" c:formatCode="General">
                  <c:v>4145.7091</c:v>
                </c:pt>
                <c:pt idx="53" c:formatCode="General">
                  <c:v>4640.01</c:v>
                </c:pt>
                <c:pt idx="54" c:formatCode="General">
                  <c:v>4611.4189</c:v>
                </c:pt>
                <c:pt idx="55" c:formatCode="General">
                  <c:v>5850.0922</c:v>
                </c:pt>
                <c:pt idx="56" c:formatCode="General">
                  <c:v>4428.9433</c:v>
                </c:pt>
                <c:pt idx="57" c:formatCode="General">
                  <c:v>3726.039</c:v>
                </c:pt>
                <c:pt idx="58" c:formatCode="General">
                  <c:v>3427.3101</c:v>
                </c:pt>
                <c:pt idx="59" c:formatCode="General">
                  <c:v>3282.5224</c:v>
                </c:pt>
                <c:pt idx="60" c:formatCode="General">
                  <c:v>3406.0964</c:v>
                </c:pt>
                <c:pt idx="61" c:formatCode="General">
                  <c:v>3182.684</c:v>
                </c:pt>
                <c:pt idx="62" c:formatCode="General">
                  <c:v>3365.9127</c:v>
                </c:pt>
                <c:pt idx="63" c:formatCode="General">
                  <c:v>3717.4927</c:v>
                </c:pt>
                <c:pt idx="64" c:formatCode="General">
                  <c:v>4126.4957</c:v>
                </c:pt>
                <c:pt idx="65" c:formatCode="General">
                  <c:v>4827.1462</c:v>
                </c:pt>
                <c:pt idx="66" c:formatCode="General">
                  <c:v>5617.3658</c:v>
                </c:pt>
                <c:pt idx="67" c:formatCode="General">
                  <c:v>6579.737</c:v>
                </c:pt>
                <c:pt idx="68" c:formatCode="General">
                  <c:v>4662.7759</c:v>
                </c:pt>
                <c:pt idx="69" c:formatCode="General">
                  <c:v>4071.131</c:v>
                </c:pt>
                <c:pt idx="70" c:formatCode="General">
                  <c:v>3877.7326</c:v>
                </c:pt>
                <c:pt idx="71" c:formatCode="General">
                  <c:v>3671.983</c:v>
                </c:pt>
                <c:pt idx="72" c:formatCode="General">
                  <c:v>3662.2285</c:v>
                </c:pt>
                <c:pt idx="73" c:formatCode="General">
                  <c:v>3902.476</c:v>
                </c:pt>
                <c:pt idx="74" c:formatCode="General">
                  <c:v>3945.4609</c:v>
                </c:pt>
                <c:pt idx="75" c:formatCode="General">
                  <c:v>4715.8801</c:v>
                </c:pt>
                <c:pt idx="76" c:formatCode="General">
                  <c:v>5840.2325</c:v>
                </c:pt>
                <c:pt idx="77" c:formatCode="General">
                  <c:v>6312.9692</c:v>
                </c:pt>
                <c:pt idx="78" c:formatCode="General">
                  <c:v>6497.4381</c:v>
                </c:pt>
                <c:pt idx="79" c:formatCode="General">
                  <c:v>5894.8311</c:v>
                </c:pt>
                <c:pt idx="80" c:formatCode="General">
                  <c:v>5302.4727</c:v>
                </c:pt>
                <c:pt idx="81" c:formatCode="General">
                  <c:v>4576.7696</c:v>
                </c:pt>
                <c:pt idx="82" c:formatCode="General">
                  <c:v>4069.1681</c:v>
                </c:pt>
                <c:pt idx="83" c:formatCode="General">
                  <c:v>4184.9725</c:v>
                </c:pt>
                <c:pt idx="84" c:formatCode="General">
                  <c:v>4251.1814</c:v>
                </c:pt>
                <c:pt idx="85" c:formatCode="General">
                  <c:v>3779.2959</c:v>
                </c:pt>
                <c:pt idx="86" c:formatCode="General">
                  <c:v>4656.8693</c:v>
                </c:pt>
                <c:pt idx="87" c:formatCode="General">
                  <c:v>4772.4236</c:v>
                </c:pt>
                <c:pt idx="88" c:formatCode="General">
                  <c:v>6481.1812</c:v>
                </c:pt>
                <c:pt idx="89" c:formatCode="General">
                  <c:v>6216.3173</c:v>
                </c:pt>
                <c:pt idx="90" c:formatCode="General">
                  <c:v>5994.2926</c:v>
                </c:pt>
                <c:pt idx="91" c:formatCode="General">
                  <c:v>7516.556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1367607"/>
        <c:axId val="121515815"/>
      </c:lineChart>
      <c:dateAx>
        <c:axId val="311367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1515815"/>
        <c:crosses val="autoZero"/>
        <c:auto val="1"/>
        <c:lblAlgn val="ctr"/>
        <c:lblOffset val="100"/>
        <c:baseTimeUnit val="days"/>
      </c:dateAx>
      <c:valAx>
        <c:axId val="121515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1367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售电量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居民!$E$1</c:f>
              <c:strCache>
                <c:ptCount val="1"/>
                <c:pt idx="0">
                  <c:v>售电量预测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居民!$A$2:$A$97</c:f>
              <c:strCache>
                <c:ptCount val="96"/>
                <c:pt idx="0" c:formatCode="yyyy&quot;年&quot;m&quot;月&quot;;@">
                  <c:v>2017年1月</c:v>
                </c:pt>
                <c:pt idx="1" c:formatCode="yyyy&quot;年&quot;m&quot;月&quot;;@">
                  <c:v>2017年2月</c:v>
                </c:pt>
                <c:pt idx="2" c:formatCode="yyyy&quot;年&quot;m&quot;月&quot;;@">
                  <c:v>2017年3月</c:v>
                </c:pt>
                <c:pt idx="3" c:formatCode="yyyy&quot;年&quot;m&quot;月&quot;;@">
                  <c:v>2017年4月</c:v>
                </c:pt>
                <c:pt idx="4" c:formatCode="yyyy&quot;年&quot;m&quot;月&quot;;@">
                  <c:v>2017年5月</c:v>
                </c:pt>
                <c:pt idx="5" c:formatCode="yyyy&quot;年&quot;m&quot;月&quot;;@">
                  <c:v>2017年6月</c:v>
                </c:pt>
                <c:pt idx="6" c:formatCode="yyyy&quot;年&quot;m&quot;月&quot;;@">
                  <c:v>2017年7月</c:v>
                </c:pt>
                <c:pt idx="7" c:formatCode="yyyy&quot;年&quot;m&quot;月&quot;;@">
                  <c:v>2017年8月</c:v>
                </c:pt>
                <c:pt idx="8" c:formatCode="yyyy&quot;年&quot;m&quot;月&quot;;@">
                  <c:v>2017年9月</c:v>
                </c:pt>
                <c:pt idx="9" c:formatCode="yyyy&quot;年&quot;m&quot;月&quot;;@">
                  <c:v>2017年10月</c:v>
                </c:pt>
                <c:pt idx="10" c:formatCode="yyyy&quot;年&quot;m&quot;月&quot;;@">
                  <c:v>2017年11月</c:v>
                </c:pt>
                <c:pt idx="11" c:formatCode="yyyy&quot;年&quot;m&quot;月&quot;;@">
                  <c:v>2017年12月</c:v>
                </c:pt>
                <c:pt idx="12" c:formatCode="yyyy&quot;年&quot;m&quot;月&quot;;@">
                  <c:v>2018年1月</c:v>
                </c:pt>
                <c:pt idx="13" c:formatCode="yyyy&quot;年&quot;m&quot;月&quot;;@">
                  <c:v>2018年2月</c:v>
                </c:pt>
                <c:pt idx="14" c:formatCode="yyyy&quot;年&quot;m&quot;月&quot;;@">
                  <c:v>2018年3月</c:v>
                </c:pt>
                <c:pt idx="15" c:formatCode="yyyy&quot;年&quot;m&quot;月&quot;;@">
                  <c:v>2018年4月</c:v>
                </c:pt>
                <c:pt idx="16" c:formatCode="yyyy&quot;年&quot;m&quot;月&quot;;@">
                  <c:v>2018年5月</c:v>
                </c:pt>
                <c:pt idx="17" c:formatCode="yyyy&quot;年&quot;m&quot;月&quot;;@">
                  <c:v>2018年6月</c:v>
                </c:pt>
                <c:pt idx="18" c:formatCode="yyyy&quot;年&quot;m&quot;月&quot;;@">
                  <c:v>2018年7月</c:v>
                </c:pt>
                <c:pt idx="19" c:formatCode="yyyy&quot;年&quot;m&quot;月&quot;;@">
                  <c:v>2018年8月</c:v>
                </c:pt>
                <c:pt idx="20" c:formatCode="yyyy&quot;年&quot;m&quot;月&quot;;@">
                  <c:v>2018年9月</c:v>
                </c:pt>
                <c:pt idx="21" c:formatCode="yyyy&quot;年&quot;m&quot;月&quot;;@">
                  <c:v>2018年10月</c:v>
                </c:pt>
                <c:pt idx="22" c:formatCode="yyyy&quot;年&quot;m&quot;月&quot;;@">
                  <c:v>2018年11月</c:v>
                </c:pt>
                <c:pt idx="23" c:formatCode="yyyy&quot;年&quot;m&quot;月&quot;;@">
                  <c:v>2018年12月</c:v>
                </c:pt>
                <c:pt idx="24" c:formatCode="yyyy&quot;年&quot;m&quot;月&quot;;@">
                  <c:v>2019年1月</c:v>
                </c:pt>
                <c:pt idx="25" c:formatCode="yyyy&quot;年&quot;m&quot;月&quot;;@">
                  <c:v>2019年2月</c:v>
                </c:pt>
                <c:pt idx="26" c:formatCode="yyyy&quot;年&quot;m&quot;月&quot;;@">
                  <c:v>2019年3月</c:v>
                </c:pt>
                <c:pt idx="27" c:formatCode="yyyy&quot;年&quot;m&quot;月&quot;;@">
                  <c:v>2019年4月</c:v>
                </c:pt>
                <c:pt idx="28" c:formatCode="yyyy&quot;年&quot;m&quot;月&quot;;@">
                  <c:v>2019年5月</c:v>
                </c:pt>
                <c:pt idx="29" c:formatCode="yyyy&quot;年&quot;m&quot;月&quot;;@">
                  <c:v>2019年6月</c:v>
                </c:pt>
                <c:pt idx="30" c:formatCode="yyyy&quot;年&quot;m&quot;月&quot;;@">
                  <c:v>2019年7月</c:v>
                </c:pt>
                <c:pt idx="31" c:formatCode="yyyy&quot;年&quot;m&quot;月&quot;;@">
                  <c:v>2019年8月</c:v>
                </c:pt>
                <c:pt idx="32" c:formatCode="yyyy&quot;年&quot;m&quot;月&quot;;@">
                  <c:v>2019年9月</c:v>
                </c:pt>
                <c:pt idx="33" c:formatCode="yyyy&quot;年&quot;m&quot;月&quot;;@">
                  <c:v>2019年10月</c:v>
                </c:pt>
                <c:pt idx="34" c:formatCode="yyyy&quot;年&quot;m&quot;月&quot;;@">
                  <c:v>2019年11月</c:v>
                </c:pt>
                <c:pt idx="35" c:formatCode="yyyy&quot;年&quot;m&quot;月&quot;;@">
                  <c:v>2019年12月</c:v>
                </c:pt>
                <c:pt idx="36" c:formatCode="yyyy&quot;年&quot;m&quot;月&quot;;@">
                  <c:v>2020年1月</c:v>
                </c:pt>
                <c:pt idx="37" c:formatCode="yyyy&quot;年&quot;m&quot;月&quot;;@">
                  <c:v>2020年2月</c:v>
                </c:pt>
                <c:pt idx="38" c:formatCode="yyyy&quot;年&quot;m&quot;月&quot;;@">
                  <c:v>2020年3月</c:v>
                </c:pt>
                <c:pt idx="39" c:formatCode="yyyy&quot;年&quot;m&quot;月&quot;;@">
                  <c:v>2020年4月</c:v>
                </c:pt>
                <c:pt idx="40" c:formatCode="yyyy&quot;年&quot;m&quot;月&quot;;@">
                  <c:v>2020年5月</c:v>
                </c:pt>
                <c:pt idx="41" c:formatCode="yyyy&quot;年&quot;m&quot;月&quot;;@">
                  <c:v>2020年6月</c:v>
                </c:pt>
                <c:pt idx="42" c:formatCode="yyyy&quot;年&quot;m&quot;月&quot;;@">
                  <c:v>2020年7月</c:v>
                </c:pt>
                <c:pt idx="43" c:formatCode="yyyy&quot;年&quot;m&quot;月&quot;;@">
                  <c:v>2020年8月</c:v>
                </c:pt>
                <c:pt idx="44" c:formatCode="yyyy&quot;年&quot;m&quot;月&quot;;@">
                  <c:v>2020年9月</c:v>
                </c:pt>
                <c:pt idx="45" c:formatCode="yyyy&quot;年&quot;m&quot;月&quot;;@">
                  <c:v>2020年10月</c:v>
                </c:pt>
                <c:pt idx="46" c:formatCode="yyyy&quot;年&quot;m&quot;月&quot;;@">
                  <c:v>2020年11月</c:v>
                </c:pt>
                <c:pt idx="47" c:formatCode="yyyy&quot;年&quot;m&quot;月&quot;;@">
                  <c:v>2020年12月</c:v>
                </c:pt>
                <c:pt idx="48" c:formatCode="yyyy&quot;年&quot;m&quot;月&quot;;@">
                  <c:v>2021年1月</c:v>
                </c:pt>
                <c:pt idx="49" c:formatCode="yyyy&quot;年&quot;m&quot;月&quot;;@">
                  <c:v>2021年2月</c:v>
                </c:pt>
                <c:pt idx="50" c:formatCode="yyyy&quot;年&quot;m&quot;月&quot;;@">
                  <c:v>2021年3月</c:v>
                </c:pt>
                <c:pt idx="51" c:formatCode="yyyy&quot;年&quot;m&quot;月&quot;;@">
                  <c:v>2021年4月</c:v>
                </c:pt>
                <c:pt idx="52" c:formatCode="yyyy&quot;年&quot;m&quot;月&quot;;@">
                  <c:v>2021年5月</c:v>
                </c:pt>
                <c:pt idx="53" c:formatCode="yyyy&quot;年&quot;m&quot;月&quot;;@">
                  <c:v>2021年6月</c:v>
                </c:pt>
                <c:pt idx="54" c:formatCode="yyyy&quot;年&quot;m&quot;月&quot;;@">
                  <c:v>2021年7月</c:v>
                </c:pt>
                <c:pt idx="55" c:formatCode="yyyy&quot;年&quot;m&quot;月&quot;;@">
                  <c:v>2021年8月</c:v>
                </c:pt>
                <c:pt idx="56" c:formatCode="yyyy&quot;年&quot;m&quot;月&quot;;@">
                  <c:v>2021年9月</c:v>
                </c:pt>
                <c:pt idx="57" c:formatCode="yyyy&quot;年&quot;m&quot;月&quot;;@">
                  <c:v>2021年10月</c:v>
                </c:pt>
                <c:pt idx="58" c:formatCode="yyyy&quot;年&quot;m&quot;月&quot;;@">
                  <c:v>2021年11月</c:v>
                </c:pt>
                <c:pt idx="59" c:formatCode="yyyy&quot;年&quot;m&quot;月&quot;;@">
                  <c:v>2021年12月</c:v>
                </c:pt>
                <c:pt idx="60" c:formatCode="yyyy&quot;年&quot;m&quot;月&quot;;@">
                  <c:v>2022年1月</c:v>
                </c:pt>
                <c:pt idx="61" c:formatCode="yyyy&quot;年&quot;m&quot;月&quot;;@">
                  <c:v>2022年2月</c:v>
                </c:pt>
                <c:pt idx="62" c:formatCode="yyyy&quot;年&quot;m&quot;月&quot;;@">
                  <c:v>2022年3月</c:v>
                </c:pt>
                <c:pt idx="63" c:formatCode="yyyy&quot;年&quot;m&quot;月&quot;;@">
                  <c:v>2022年4月</c:v>
                </c:pt>
                <c:pt idx="64" c:formatCode="yyyy&quot;年&quot;m&quot;月&quot;;@">
                  <c:v>2022年5月</c:v>
                </c:pt>
                <c:pt idx="65" c:formatCode="yyyy&quot;年&quot;m&quot;月&quot;;@">
                  <c:v>2022年6月</c:v>
                </c:pt>
                <c:pt idx="66" c:formatCode="yyyy&quot;年&quot;m&quot;月&quot;;@">
                  <c:v>2022年7月</c:v>
                </c:pt>
                <c:pt idx="67" c:formatCode="yyyy&quot;年&quot;m&quot;月&quot;;@">
                  <c:v>2022年8月</c:v>
                </c:pt>
                <c:pt idx="68" c:formatCode="yyyy&quot;年&quot;m&quot;月&quot;;@">
                  <c:v>2022年9月</c:v>
                </c:pt>
                <c:pt idx="69" c:formatCode="yyyy&quot;年&quot;m&quot;月&quot;;@">
                  <c:v>2022年10月</c:v>
                </c:pt>
                <c:pt idx="70" c:formatCode="yyyy&quot;年&quot;m&quot;月&quot;;@">
                  <c:v>2022年11月</c:v>
                </c:pt>
                <c:pt idx="71" c:formatCode="yyyy&quot;年&quot;m&quot;月&quot;;@">
                  <c:v>2022年12月</c:v>
                </c:pt>
                <c:pt idx="72" c:formatCode="yyyy&quot;年&quot;m&quot;月&quot;;@">
                  <c:v>2023年1月</c:v>
                </c:pt>
                <c:pt idx="73" c:formatCode="yyyy&quot;年&quot;m&quot;月&quot;;@">
                  <c:v>2023年2月</c:v>
                </c:pt>
                <c:pt idx="74" c:formatCode="yyyy&quot;年&quot;m&quot;月&quot;;@">
                  <c:v>2023年3月</c:v>
                </c:pt>
                <c:pt idx="75" c:formatCode="yyyy&quot;年&quot;m&quot;月&quot;;@">
                  <c:v>2023年4月</c:v>
                </c:pt>
                <c:pt idx="76" c:formatCode="yyyy&quot;年&quot;m&quot;月&quot;;@">
                  <c:v>2023年5月</c:v>
                </c:pt>
                <c:pt idx="77" c:formatCode="yyyy&quot;年&quot;m&quot;月&quot;;@">
                  <c:v>2023年6月</c:v>
                </c:pt>
                <c:pt idx="78" c:formatCode="yyyy&quot;年&quot;m&quot;月&quot;;@">
                  <c:v>2023年7月</c:v>
                </c:pt>
                <c:pt idx="79" c:formatCode="yyyy&quot;年&quot;m&quot;月&quot;;@">
                  <c:v>2023年8月</c:v>
                </c:pt>
                <c:pt idx="80" c:formatCode="yyyy&quot;年&quot;m&quot;月&quot;;@">
                  <c:v>2023年9月</c:v>
                </c:pt>
                <c:pt idx="81" c:formatCode="yyyy&quot;年&quot;m&quot;月&quot;;@">
                  <c:v>2023年10月</c:v>
                </c:pt>
                <c:pt idx="82" c:formatCode="yyyy&quot;年&quot;m&quot;月&quot;;@">
                  <c:v>2023年11月</c:v>
                </c:pt>
                <c:pt idx="83" c:formatCode="yyyy&quot;年&quot;m&quot;月&quot;;@">
                  <c:v>2023年12月</c:v>
                </c:pt>
                <c:pt idx="84">
                  <c:v>2024/1月</c:v>
                </c:pt>
                <c:pt idx="85">
                  <c:v>2024/2月</c:v>
                </c:pt>
                <c:pt idx="86">
                  <c:v>2024/3月</c:v>
                </c:pt>
                <c:pt idx="87">
                  <c:v>2024/4月</c:v>
                </c:pt>
                <c:pt idx="88">
                  <c:v>2024/5月</c:v>
                </c:pt>
                <c:pt idx="89">
                  <c:v>2024/6月</c:v>
                </c:pt>
                <c:pt idx="90">
                  <c:v>2024/7月</c:v>
                </c:pt>
                <c:pt idx="91">
                  <c:v>2024/8月</c:v>
                </c:pt>
                <c:pt idx="92">
                  <c:v>2024/9月</c:v>
                </c:pt>
                <c:pt idx="93">
                  <c:v>2024/10月</c:v>
                </c:pt>
                <c:pt idx="94">
                  <c:v>2024/11月</c:v>
                </c:pt>
                <c:pt idx="95">
                  <c:v>2024/12月</c:v>
                </c:pt>
              </c:strCache>
            </c:strRef>
          </c:cat>
          <c:val>
            <c:numRef>
              <c:f>居民!$E$2:$E$97</c:f>
              <c:numCache>
                <c:formatCode>0.0000_);[Red]\(0.0000\)</c:formatCode>
                <c:ptCount val="96"/>
                <c:pt idx="0">
                  <c:v>108574.5037</c:v>
                </c:pt>
                <c:pt idx="1">
                  <c:v>112603.7004</c:v>
                </c:pt>
                <c:pt idx="2">
                  <c:v>98260.9072000002</c:v>
                </c:pt>
                <c:pt idx="3">
                  <c:v>95621.0390000003</c:v>
                </c:pt>
                <c:pt idx="4">
                  <c:v>78867.3034000001</c:v>
                </c:pt>
                <c:pt idx="5">
                  <c:v>87992.6567000002</c:v>
                </c:pt>
                <c:pt idx="6">
                  <c:v>98457.6521999996</c:v>
                </c:pt>
                <c:pt idx="7">
                  <c:v>170184.221</c:v>
                </c:pt>
                <c:pt idx="8">
                  <c:v>121708.764899999</c:v>
                </c:pt>
                <c:pt idx="9">
                  <c:v>83874.2118999993</c:v>
                </c:pt>
                <c:pt idx="10">
                  <c:v>86289.9803999996</c:v>
                </c:pt>
                <c:pt idx="11">
                  <c:v>97071.5834999999</c:v>
                </c:pt>
                <c:pt idx="12">
                  <c:v>134311.8261</c:v>
                </c:pt>
                <c:pt idx="13">
                  <c:v>142804.639599999</c:v>
                </c:pt>
                <c:pt idx="14">
                  <c:v>95069.1115000004</c:v>
                </c:pt>
                <c:pt idx="15">
                  <c:v>87566.8369000003</c:v>
                </c:pt>
                <c:pt idx="16">
                  <c:v>84817.9119999997</c:v>
                </c:pt>
                <c:pt idx="17">
                  <c:v>95351.4249999996</c:v>
                </c:pt>
                <c:pt idx="18">
                  <c:v>107431.36</c:v>
                </c:pt>
                <c:pt idx="19">
                  <c:v>140212.975</c:v>
                </c:pt>
                <c:pt idx="20">
                  <c:v>171370.931300001</c:v>
                </c:pt>
                <c:pt idx="21">
                  <c:v>86659.6860999998</c:v>
                </c:pt>
                <c:pt idx="22">
                  <c:v>92632.3952000003</c:v>
                </c:pt>
                <c:pt idx="23">
                  <c:v>114833.403800001</c:v>
                </c:pt>
                <c:pt idx="24">
                  <c:v>168121.4821</c:v>
                </c:pt>
                <c:pt idx="25">
                  <c:v>140758.6371</c:v>
                </c:pt>
                <c:pt idx="26">
                  <c:v>118684.213499999</c:v>
                </c:pt>
                <c:pt idx="27">
                  <c:v>102635.5109</c:v>
                </c:pt>
                <c:pt idx="28">
                  <c:v>92490.3412</c:v>
                </c:pt>
                <c:pt idx="29">
                  <c:v>99321.7586000002</c:v>
                </c:pt>
                <c:pt idx="30">
                  <c:v>111074.1537</c:v>
                </c:pt>
                <c:pt idx="31">
                  <c:v>130900.794899999</c:v>
                </c:pt>
                <c:pt idx="32">
                  <c:v>162926.114600001</c:v>
                </c:pt>
                <c:pt idx="33">
                  <c:v>91996.4523999997</c:v>
                </c:pt>
                <c:pt idx="34">
                  <c:v>96343.9987999995</c:v>
                </c:pt>
                <c:pt idx="35">
                  <c:v>119665.8968</c:v>
                </c:pt>
                <c:pt idx="36">
                  <c:v>146087.153700001</c:v>
                </c:pt>
                <c:pt idx="37">
                  <c:v>142001.2748</c:v>
                </c:pt>
                <c:pt idx="38">
                  <c:v>109861.914099999</c:v>
                </c:pt>
                <c:pt idx="39">
                  <c:v>99586.0167999998</c:v>
                </c:pt>
                <c:pt idx="40">
                  <c:v>97281.7184</c:v>
                </c:pt>
                <c:pt idx="41">
                  <c:v>112823.008400001</c:v>
                </c:pt>
                <c:pt idx="42">
                  <c:v>139968.0919</c:v>
                </c:pt>
                <c:pt idx="43">
                  <c:v>151937.5948</c:v>
                </c:pt>
                <c:pt idx="44">
                  <c:v>178974.1655</c:v>
                </c:pt>
                <c:pt idx="45">
                  <c:v>99106.1586000001</c:v>
                </c:pt>
                <c:pt idx="46">
                  <c:v>108829.8374</c:v>
                </c:pt>
                <c:pt idx="47">
                  <c:v>164036.4648</c:v>
                </c:pt>
                <c:pt idx="48">
                  <c:v>195037.048999999</c:v>
                </c:pt>
                <c:pt idx="49">
                  <c:v>129913.6686</c:v>
                </c:pt>
                <c:pt idx="50">
                  <c:v>98703.7590000003</c:v>
                </c:pt>
                <c:pt idx="51">
                  <c:v>106812.2298</c:v>
                </c:pt>
                <c:pt idx="52">
                  <c:v>101803.8532</c:v>
                </c:pt>
                <c:pt idx="53">
                  <c:v>117451.9584</c:v>
                </c:pt>
                <c:pt idx="54">
                  <c:v>184976.638999999</c:v>
                </c:pt>
                <c:pt idx="55">
                  <c:v>204915.837599999</c:v>
                </c:pt>
                <c:pt idx="56">
                  <c:v>119664.0522</c:v>
                </c:pt>
                <c:pt idx="57">
                  <c:v>123516.5208</c:v>
                </c:pt>
                <c:pt idx="58">
                  <c:v>133366.3224</c:v>
                </c:pt>
                <c:pt idx="59">
                  <c:v>148308.2444</c:v>
                </c:pt>
                <c:pt idx="60">
                  <c:v>179399.7679</c:v>
                </c:pt>
                <c:pt idx="61">
                  <c:v>178113.694000001</c:v>
                </c:pt>
                <c:pt idx="62">
                  <c:v>108940.0075</c:v>
                </c:pt>
                <c:pt idx="63">
                  <c:v>113956.3095</c:v>
                </c:pt>
                <c:pt idx="64">
                  <c:v>110332.9935</c:v>
                </c:pt>
                <c:pt idx="65">
                  <c:v>144900.596200001</c:v>
                </c:pt>
                <c:pt idx="66">
                  <c:v>241135.325599999</c:v>
                </c:pt>
                <c:pt idx="67">
                  <c:v>340475.257299999</c:v>
                </c:pt>
                <c:pt idx="68">
                  <c:v>128441.6835</c:v>
                </c:pt>
                <c:pt idx="69">
                  <c:v>108381.2899</c:v>
                </c:pt>
                <c:pt idx="70">
                  <c:v>118959.9275</c:v>
                </c:pt>
                <c:pt idx="71">
                  <c:v>174616.352300001</c:v>
                </c:pt>
                <c:pt idx="72">
                  <c:v>181522.1675</c:v>
                </c:pt>
                <c:pt idx="73">
                  <c:v>157757.935799999</c:v>
                </c:pt>
                <c:pt idx="74">
                  <c:v>114211.738</c:v>
                </c:pt>
                <c:pt idx="75">
                  <c:v>121359.092399999</c:v>
                </c:pt>
                <c:pt idx="76">
                  <c:v>113207.0171</c:v>
                </c:pt>
                <c:pt idx="77">
                  <c:v>155969.7893</c:v>
                </c:pt>
                <c:pt idx="78">
                  <c:v>239788.9029</c:v>
                </c:pt>
                <c:pt idx="79">
                  <c:v>218468.466700001</c:v>
                </c:pt>
                <c:pt idx="80">
                  <c:v>149916.6824</c:v>
                </c:pt>
                <c:pt idx="81">
                  <c:v>119715.769</c:v>
                </c:pt>
                <c:pt idx="82">
                  <c:v>129783.7592</c:v>
                </c:pt>
                <c:pt idx="83">
                  <c:v>181685.982999999</c:v>
                </c:pt>
                <c:pt idx="84">
                  <c:v>201340.487630861</c:v>
                </c:pt>
                <c:pt idx="85">
                  <c:v>170255.374712328</c:v>
                </c:pt>
                <c:pt idx="86">
                  <c:v>132858.512572827</c:v>
                </c:pt>
                <c:pt idx="87">
                  <c:v>120067.836106229</c:v>
                </c:pt>
                <c:pt idx="88">
                  <c:v>129533.951258529</c:v>
                </c:pt>
                <c:pt idx="89">
                  <c:v>196897.3662827</c:v>
                </c:pt>
                <c:pt idx="90">
                  <c:v>256230.569994768</c:v>
                </c:pt>
                <c:pt idx="91">
                  <c:v>255774.068516092</c:v>
                </c:pt>
                <c:pt idx="92">
                  <c:v>194476.909402731</c:v>
                </c:pt>
                <c:pt idx="93">
                  <c:v>122770.909376596</c:v>
                </c:pt>
                <c:pt idx="94">
                  <c:v>135125.185803882</c:v>
                </c:pt>
                <c:pt idx="95">
                  <c:v>181594.561025716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居民!$F$1</c:f>
              <c:strCache>
                <c:ptCount val="1"/>
                <c:pt idx="0">
                  <c:v>历史售电量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居民!$A$2:$A$97</c:f>
              <c:strCache>
                <c:ptCount val="96"/>
                <c:pt idx="0" c:formatCode="yyyy&quot;年&quot;m&quot;月&quot;;@">
                  <c:v>2017年1月</c:v>
                </c:pt>
                <c:pt idx="1" c:formatCode="yyyy&quot;年&quot;m&quot;月&quot;;@">
                  <c:v>2017年2月</c:v>
                </c:pt>
                <c:pt idx="2" c:formatCode="yyyy&quot;年&quot;m&quot;月&quot;;@">
                  <c:v>2017年3月</c:v>
                </c:pt>
                <c:pt idx="3" c:formatCode="yyyy&quot;年&quot;m&quot;月&quot;;@">
                  <c:v>2017年4月</c:v>
                </c:pt>
                <c:pt idx="4" c:formatCode="yyyy&quot;年&quot;m&quot;月&quot;;@">
                  <c:v>2017年5月</c:v>
                </c:pt>
                <c:pt idx="5" c:formatCode="yyyy&quot;年&quot;m&quot;月&quot;;@">
                  <c:v>2017年6月</c:v>
                </c:pt>
                <c:pt idx="6" c:formatCode="yyyy&quot;年&quot;m&quot;月&quot;;@">
                  <c:v>2017年7月</c:v>
                </c:pt>
                <c:pt idx="7" c:formatCode="yyyy&quot;年&quot;m&quot;月&quot;;@">
                  <c:v>2017年8月</c:v>
                </c:pt>
                <c:pt idx="8" c:formatCode="yyyy&quot;年&quot;m&quot;月&quot;;@">
                  <c:v>2017年9月</c:v>
                </c:pt>
                <c:pt idx="9" c:formatCode="yyyy&quot;年&quot;m&quot;月&quot;;@">
                  <c:v>2017年10月</c:v>
                </c:pt>
                <c:pt idx="10" c:formatCode="yyyy&quot;年&quot;m&quot;月&quot;;@">
                  <c:v>2017年11月</c:v>
                </c:pt>
                <c:pt idx="11" c:formatCode="yyyy&quot;年&quot;m&quot;月&quot;;@">
                  <c:v>2017年12月</c:v>
                </c:pt>
                <c:pt idx="12" c:formatCode="yyyy&quot;年&quot;m&quot;月&quot;;@">
                  <c:v>2018年1月</c:v>
                </c:pt>
                <c:pt idx="13" c:formatCode="yyyy&quot;年&quot;m&quot;月&quot;;@">
                  <c:v>2018年2月</c:v>
                </c:pt>
                <c:pt idx="14" c:formatCode="yyyy&quot;年&quot;m&quot;月&quot;;@">
                  <c:v>2018年3月</c:v>
                </c:pt>
                <c:pt idx="15" c:formatCode="yyyy&quot;年&quot;m&quot;月&quot;;@">
                  <c:v>2018年4月</c:v>
                </c:pt>
                <c:pt idx="16" c:formatCode="yyyy&quot;年&quot;m&quot;月&quot;;@">
                  <c:v>2018年5月</c:v>
                </c:pt>
                <c:pt idx="17" c:formatCode="yyyy&quot;年&quot;m&quot;月&quot;;@">
                  <c:v>2018年6月</c:v>
                </c:pt>
                <c:pt idx="18" c:formatCode="yyyy&quot;年&quot;m&quot;月&quot;;@">
                  <c:v>2018年7月</c:v>
                </c:pt>
                <c:pt idx="19" c:formatCode="yyyy&quot;年&quot;m&quot;月&quot;;@">
                  <c:v>2018年8月</c:v>
                </c:pt>
                <c:pt idx="20" c:formatCode="yyyy&quot;年&quot;m&quot;月&quot;;@">
                  <c:v>2018年9月</c:v>
                </c:pt>
                <c:pt idx="21" c:formatCode="yyyy&quot;年&quot;m&quot;月&quot;;@">
                  <c:v>2018年10月</c:v>
                </c:pt>
                <c:pt idx="22" c:formatCode="yyyy&quot;年&quot;m&quot;月&quot;;@">
                  <c:v>2018年11月</c:v>
                </c:pt>
                <c:pt idx="23" c:formatCode="yyyy&quot;年&quot;m&quot;月&quot;;@">
                  <c:v>2018年12月</c:v>
                </c:pt>
                <c:pt idx="24" c:formatCode="yyyy&quot;年&quot;m&quot;月&quot;;@">
                  <c:v>2019年1月</c:v>
                </c:pt>
                <c:pt idx="25" c:formatCode="yyyy&quot;年&quot;m&quot;月&quot;;@">
                  <c:v>2019年2月</c:v>
                </c:pt>
                <c:pt idx="26" c:formatCode="yyyy&quot;年&quot;m&quot;月&quot;;@">
                  <c:v>2019年3月</c:v>
                </c:pt>
                <c:pt idx="27" c:formatCode="yyyy&quot;年&quot;m&quot;月&quot;;@">
                  <c:v>2019年4月</c:v>
                </c:pt>
                <c:pt idx="28" c:formatCode="yyyy&quot;年&quot;m&quot;月&quot;;@">
                  <c:v>2019年5月</c:v>
                </c:pt>
                <c:pt idx="29" c:formatCode="yyyy&quot;年&quot;m&quot;月&quot;;@">
                  <c:v>2019年6月</c:v>
                </c:pt>
                <c:pt idx="30" c:formatCode="yyyy&quot;年&quot;m&quot;月&quot;;@">
                  <c:v>2019年7月</c:v>
                </c:pt>
                <c:pt idx="31" c:formatCode="yyyy&quot;年&quot;m&quot;月&quot;;@">
                  <c:v>2019年8月</c:v>
                </c:pt>
                <c:pt idx="32" c:formatCode="yyyy&quot;年&quot;m&quot;月&quot;;@">
                  <c:v>2019年9月</c:v>
                </c:pt>
                <c:pt idx="33" c:formatCode="yyyy&quot;年&quot;m&quot;月&quot;;@">
                  <c:v>2019年10月</c:v>
                </c:pt>
                <c:pt idx="34" c:formatCode="yyyy&quot;年&quot;m&quot;月&quot;;@">
                  <c:v>2019年11月</c:v>
                </c:pt>
                <c:pt idx="35" c:formatCode="yyyy&quot;年&quot;m&quot;月&quot;;@">
                  <c:v>2019年12月</c:v>
                </c:pt>
                <c:pt idx="36" c:formatCode="yyyy&quot;年&quot;m&quot;月&quot;;@">
                  <c:v>2020年1月</c:v>
                </c:pt>
                <c:pt idx="37" c:formatCode="yyyy&quot;年&quot;m&quot;月&quot;;@">
                  <c:v>2020年2月</c:v>
                </c:pt>
                <c:pt idx="38" c:formatCode="yyyy&quot;年&quot;m&quot;月&quot;;@">
                  <c:v>2020年3月</c:v>
                </c:pt>
                <c:pt idx="39" c:formatCode="yyyy&quot;年&quot;m&quot;月&quot;;@">
                  <c:v>2020年4月</c:v>
                </c:pt>
                <c:pt idx="40" c:formatCode="yyyy&quot;年&quot;m&quot;月&quot;;@">
                  <c:v>2020年5月</c:v>
                </c:pt>
                <c:pt idx="41" c:formatCode="yyyy&quot;年&quot;m&quot;月&quot;;@">
                  <c:v>2020年6月</c:v>
                </c:pt>
                <c:pt idx="42" c:formatCode="yyyy&quot;年&quot;m&quot;月&quot;;@">
                  <c:v>2020年7月</c:v>
                </c:pt>
                <c:pt idx="43" c:formatCode="yyyy&quot;年&quot;m&quot;月&quot;;@">
                  <c:v>2020年8月</c:v>
                </c:pt>
                <c:pt idx="44" c:formatCode="yyyy&quot;年&quot;m&quot;月&quot;;@">
                  <c:v>2020年9月</c:v>
                </c:pt>
                <c:pt idx="45" c:formatCode="yyyy&quot;年&quot;m&quot;月&quot;;@">
                  <c:v>2020年10月</c:v>
                </c:pt>
                <c:pt idx="46" c:formatCode="yyyy&quot;年&quot;m&quot;月&quot;;@">
                  <c:v>2020年11月</c:v>
                </c:pt>
                <c:pt idx="47" c:formatCode="yyyy&quot;年&quot;m&quot;月&quot;;@">
                  <c:v>2020年12月</c:v>
                </c:pt>
                <c:pt idx="48" c:formatCode="yyyy&quot;年&quot;m&quot;月&quot;;@">
                  <c:v>2021年1月</c:v>
                </c:pt>
                <c:pt idx="49" c:formatCode="yyyy&quot;年&quot;m&quot;月&quot;;@">
                  <c:v>2021年2月</c:v>
                </c:pt>
                <c:pt idx="50" c:formatCode="yyyy&quot;年&quot;m&quot;月&quot;;@">
                  <c:v>2021年3月</c:v>
                </c:pt>
                <c:pt idx="51" c:formatCode="yyyy&quot;年&quot;m&quot;月&quot;;@">
                  <c:v>2021年4月</c:v>
                </c:pt>
                <c:pt idx="52" c:formatCode="yyyy&quot;年&quot;m&quot;月&quot;;@">
                  <c:v>2021年5月</c:v>
                </c:pt>
                <c:pt idx="53" c:formatCode="yyyy&quot;年&quot;m&quot;月&quot;;@">
                  <c:v>2021年6月</c:v>
                </c:pt>
                <c:pt idx="54" c:formatCode="yyyy&quot;年&quot;m&quot;月&quot;;@">
                  <c:v>2021年7月</c:v>
                </c:pt>
                <c:pt idx="55" c:formatCode="yyyy&quot;年&quot;m&quot;月&quot;;@">
                  <c:v>2021年8月</c:v>
                </c:pt>
                <c:pt idx="56" c:formatCode="yyyy&quot;年&quot;m&quot;月&quot;;@">
                  <c:v>2021年9月</c:v>
                </c:pt>
                <c:pt idx="57" c:formatCode="yyyy&quot;年&quot;m&quot;月&quot;;@">
                  <c:v>2021年10月</c:v>
                </c:pt>
                <c:pt idx="58" c:formatCode="yyyy&quot;年&quot;m&quot;月&quot;;@">
                  <c:v>2021年11月</c:v>
                </c:pt>
                <c:pt idx="59" c:formatCode="yyyy&quot;年&quot;m&quot;月&quot;;@">
                  <c:v>2021年12月</c:v>
                </c:pt>
                <c:pt idx="60" c:formatCode="yyyy&quot;年&quot;m&quot;月&quot;;@">
                  <c:v>2022年1月</c:v>
                </c:pt>
                <c:pt idx="61" c:formatCode="yyyy&quot;年&quot;m&quot;月&quot;;@">
                  <c:v>2022年2月</c:v>
                </c:pt>
                <c:pt idx="62" c:formatCode="yyyy&quot;年&quot;m&quot;月&quot;;@">
                  <c:v>2022年3月</c:v>
                </c:pt>
                <c:pt idx="63" c:formatCode="yyyy&quot;年&quot;m&quot;月&quot;;@">
                  <c:v>2022年4月</c:v>
                </c:pt>
                <c:pt idx="64" c:formatCode="yyyy&quot;年&quot;m&quot;月&quot;;@">
                  <c:v>2022年5月</c:v>
                </c:pt>
                <c:pt idx="65" c:formatCode="yyyy&quot;年&quot;m&quot;月&quot;;@">
                  <c:v>2022年6月</c:v>
                </c:pt>
                <c:pt idx="66" c:formatCode="yyyy&quot;年&quot;m&quot;月&quot;;@">
                  <c:v>2022年7月</c:v>
                </c:pt>
                <c:pt idx="67" c:formatCode="yyyy&quot;年&quot;m&quot;月&quot;;@">
                  <c:v>2022年8月</c:v>
                </c:pt>
                <c:pt idx="68" c:formatCode="yyyy&quot;年&quot;m&quot;月&quot;;@">
                  <c:v>2022年9月</c:v>
                </c:pt>
                <c:pt idx="69" c:formatCode="yyyy&quot;年&quot;m&quot;月&quot;;@">
                  <c:v>2022年10月</c:v>
                </c:pt>
                <c:pt idx="70" c:formatCode="yyyy&quot;年&quot;m&quot;月&quot;;@">
                  <c:v>2022年11月</c:v>
                </c:pt>
                <c:pt idx="71" c:formatCode="yyyy&quot;年&quot;m&quot;月&quot;;@">
                  <c:v>2022年12月</c:v>
                </c:pt>
                <c:pt idx="72" c:formatCode="yyyy&quot;年&quot;m&quot;月&quot;;@">
                  <c:v>2023年1月</c:v>
                </c:pt>
                <c:pt idx="73" c:formatCode="yyyy&quot;年&quot;m&quot;月&quot;;@">
                  <c:v>2023年2月</c:v>
                </c:pt>
                <c:pt idx="74" c:formatCode="yyyy&quot;年&quot;m&quot;月&quot;;@">
                  <c:v>2023年3月</c:v>
                </c:pt>
                <c:pt idx="75" c:formatCode="yyyy&quot;年&quot;m&quot;月&quot;;@">
                  <c:v>2023年4月</c:v>
                </c:pt>
                <c:pt idx="76" c:formatCode="yyyy&quot;年&quot;m&quot;月&quot;;@">
                  <c:v>2023年5月</c:v>
                </c:pt>
                <c:pt idx="77" c:formatCode="yyyy&quot;年&quot;m&quot;月&quot;;@">
                  <c:v>2023年6月</c:v>
                </c:pt>
                <c:pt idx="78" c:formatCode="yyyy&quot;年&quot;m&quot;月&quot;;@">
                  <c:v>2023年7月</c:v>
                </c:pt>
                <c:pt idx="79" c:formatCode="yyyy&quot;年&quot;m&quot;月&quot;;@">
                  <c:v>2023年8月</c:v>
                </c:pt>
                <c:pt idx="80" c:formatCode="yyyy&quot;年&quot;m&quot;月&quot;;@">
                  <c:v>2023年9月</c:v>
                </c:pt>
                <c:pt idx="81" c:formatCode="yyyy&quot;年&quot;m&quot;月&quot;;@">
                  <c:v>2023年10月</c:v>
                </c:pt>
                <c:pt idx="82" c:formatCode="yyyy&quot;年&quot;m&quot;月&quot;;@">
                  <c:v>2023年11月</c:v>
                </c:pt>
                <c:pt idx="83" c:formatCode="yyyy&quot;年&quot;m&quot;月&quot;;@">
                  <c:v>2023年12月</c:v>
                </c:pt>
                <c:pt idx="84">
                  <c:v>2024/1月</c:v>
                </c:pt>
                <c:pt idx="85">
                  <c:v>2024/2月</c:v>
                </c:pt>
                <c:pt idx="86">
                  <c:v>2024/3月</c:v>
                </c:pt>
                <c:pt idx="87">
                  <c:v>2024/4月</c:v>
                </c:pt>
                <c:pt idx="88">
                  <c:v>2024/5月</c:v>
                </c:pt>
                <c:pt idx="89">
                  <c:v>2024/6月</c:v>
                </c:pt>
                <c:pt idx="90">
                  <c:v>2024/7月</c:v>
                </c:pt>
                <c:pt idx="91">
                  <c:v>2024/8月</c:v>
                </c:pt>
                <c:pt idx="92">
                  <c:v>2024/9月</c:v>
                </c:pt>
                <c:pt idx="93">
                  <c:v>2024/10月</c:v>
                </c:pt>
                <c:pt idx="94">
                  <c:v>2024/11月</c:v>
                </c:pt>
                <c:pt idx="95">
                  <c:v>2024/12月</c:v>
                </c:pt>
              </c:strCache>
            </c:strRef>
          </c:cat>
          <c:val>
            <c:numRef>
              <c:f>居民!$F$2:$F$97</c:f>
              <c:numCache>
                <c:formatCode>0.0000_);[Red]\(0.0000\)</c:formatCode>
                <c:ptCount val="96"/>
                <c:pt idx="0">
                  <c:v>108574.5037</c:v>
                </c:pt>
                <c:pt idx="1">
                  <c:v>112603.7004</c:v>
                </c:pt>
                <c:pt idx="2">
                  <c:v>98260.9072</c:v>
                </c:pt>
                <c:pt idx="3">
                  <c:v>95621.039</c:v>
                </c:pt>
                <c:pt idx="4">
                  <c:v>78867.3034</c:v>
                </c:pt>
                <c:pt idx="5">
                  <c:v>87992.6567</c:v>
                </c:pt>
                <c:pt idx="6">
                  <c:v>98457.6522</c:v>
                </c:pt>
                <c:pt idx="7">
                  <c:v>170184.221</c:v>
                </c:pt>
                <c:pt idx="8">
                  <c:v>121708.7649</c:v>
                </c:pt>
                <c:pt idx="9">
                  <c:v>83874.2119</c:v>
                </c:pt>
                <c:pt idx="10">
                  <c:v>86289.9804</c:v>
                </c:pt>
                <c:pt idx="11">
                  <c:v>97071.5835</c:v>
                </c:pt>
                <c:pt idx="12">
                  <c:v>134311.8261</c:v>
                </c:pt>
                <c:pt idx="13">
                  <c:v>142804.6396</c:v>
                </c:pt>
                <c:pt idx="14">
                  <c:v>95069.1115</c:v>
                </c:pt>
                <c:pt idx="15">
                  <c:v>87566.8369</c:v>
                </c:pt>
                <c:pt idx="16">
                  <c:v>84817.912</c:v>
                </c:pt>
                <c:pt idx="17">
                  <c:v>95351.425</c:v>
                </c:pt>
                <c:pt idx="18">
                  <c:v>107431.36</c:v>
                </c:pt>
                <c:pt idx="19">
                  <c:v>140212.975</c:v>
                </c:pt>
                <c:pt idx="20">
                  <c:v>171370.9313</c:v>
                </c:pt>
                <c:pt idx="21">
                  <c:v>86659.6861</c:v>
                </c:pt>
                <c:pt idx="22">
                  <c:v>92632.3952</c:v>
                </c:pt>
                <c:pt idx="23">
                  <c:v>114833.4038</c:v>
                </c:pt>
                <c:pt idx="24">
                  <c:v>168121.4821</c:v>
                </c:pt>
                <c:pt idx="25">
                  <c:v>140758.6371</c:v>
                </c:pt>
                <c:pt idx="26">
                  <c:v>118684.2135</c:v>
                </c:pt>
                <c:pt idx="27">
                  <c:v>102635.5109</c:v>
                </c:pt>
                <c:pt idx="28">
                  <c:v>92490.3412</c:v>
                </c:pt>
                <c:pt idx="29">
                  <c:v>99321.7586</c:v>
                </c:pt>
                <c:pt idx="30">
                  <c:v>111074.1537</c:v>
                </c:pt>
                <c:pt idx="31">
                  <c:v>130900.7949</c:v>
                </c:pt>
                <c:pt idx="32">
                  <c:v>162926.1146</c:v>
                </c:pt>
                <c:pt idx="33">
                  <c:v>91996.4524</c:v>
                </c:pt>
                <c:pt idx="34">
                  <c:v>96343.9988</c:v>
                </c:pt>
                <c:pt idx="35">
                  <c:v>119665.8968</c:v>
                </c:pt>
                <c:pt idx="36">
                  <c:v>146087.1537</c:v>
                </c:pt>
                <c:pt idx="37">
                  <c:v>142001.2748</c:v>
                </c:pt>
                <c:pt idx="38">
                  <c:v>109861.9141</c:v>
                </c:pt>
                <c:pt idx="39">
                  <c:v>99586.0168</c:v>
                </c:pt>
                <c:pt idx="40">
                  <c:v>97281.7184</c:v>
                </c:pt>
                <c:pt idx="41">
                  <c:v>112823.0084</c:v>
                </c:pt>
                <c:pt idx="42">
                  <c:v>139968.0919</c:v>
                </c:pt>
                <c:pt idx="43">
                  <c:v>151937.5948</c:v>
                </c:pt>
                <c:pt idx="44">
                  <c:v>178974.1655</c:v>
                </c:pt>
                <c:pt idx="45">
                  <c:v>99106.1586</c:v>
                </c:pt>
                <c:pt idx="46">
                  <c:v>108829.8374</c:v>
                </c:pt>
                <c:pt idx="47">
                  <c:v>164036.4648</c:v>
                </c:pt>
                <c:pt idx="48" c:formatCode="General">
                  <c:v>195037.049</c:v>
                </c:pt>
                <c:pt idx="49" c:formatCode="General">
                  <c:v>129913.6686</c:v>
                </c:pt>
                <c:pt idx="50" c:formatCode="General">
                  <c:v>98703.759</c:v>
                </c:pt>
                <c:pt idx="51" c:formatCode="General">
                  <c:v>106812.2298</c:v>
                </c:pt>
                <c:pt idx="52" c:formatCode="General">
                  <c:v>101803.8532</c:v>
                </c:pt>
                <c:pt idx="53" c:formatCode="General">
                  <c:v>117451.9584</c:v>
                </c:pt>
                <c:pt idx="54" c:formatCode="General">
                  <c:v>184976.639</c:v>
                </c:pt>
                <c:pt idx="55" c:formatCode="General">
                  <c:v>204915.8376</c:v>
                </c:pt>
                <c:pt idx="56" c:formatCode="General">
                  <c:v>119664.0522</c:v>
                </c:pt>
                <c:pt idx="57" c:formatCode="General">
                  <c:v>123516.5208</c:v>
                </c:pt>
                <c:pt idx="58" c:formatCode="General">
                  <c:v>133366.3224</c:v>
                </c:pt>
                <c:pt idx="59" c:formatCode="General">
                  <c:v>148308.2444</c:v>
                </c:pt>
                <c:pt idx="60" c:formatCode="General">
                  <c:v>179399.7679</c:v>
                </c:pt>
                <c:pt idx="61" c:formatCode="General">
                  <c:v>178113.694</c:v>
                </c:pt>
                <c:pt idx="62" c:formatCode="General">
                  <c:v>108940.0075</c:v>
                </c:pt>
                <c:pt idx="63" c:formatCode="General">
                  <c:v>113956.3095</c:v>
                </c:pt>
                <c:pt idx="64" c:formatCode="General">
                  <c:v>110332.9935</c:v>
                </c:pt>
                <c:pt idx="65" c:formatCode="General">
                  <c:v>144900.5962</c:v>
                </c:pt>
                <c:pt idx="66" c:formatCode="General">
                  <c:v>241135.3256</c:v>
                </c:pt>
                <c:pt idx="67" c:formatCode="General">
                  <c:v>340475.2573</c:v>
                </c:pt>
                <c:pt idx="68" c:formatCode="General">
                  <c:v>128441.6835</c:v>
                </c:pt>
                <c:pt idx="69" c:formatCode="General">
                  <c:v>108381.2899</c:v>
                </c:pt>
                <c:pt idx="70" c:formatCode="General">
                  <c:v>118959.9275</c:v>
                </c:pt>
                <c:pt idx="71" c:formatCode="General">
                  <c:v>174616.3523</c:v>
                </c:pt>
                <c:pt idx="72" c:formatCode="General">
                  <c:v>181522.1675</c:v>
                </c:pt>
                <c:pt idx="73" c:formatCode="General">
                  <c:v>157757.9358</c:v>
                </c:pt>
                <c:pt idx="74" c:formatCode="General">
                  <c:v>114211.738</c:v>
                </c:pt>
                <c:pt idx="75" c:formatCode="General">
                  <c:v>121359.0924</c:v>
                </c:pt>
                <c:pt idx="76" c:formatCode="General">
                  <c:v>113207.0171</c:v>
                </c:pt>
                <c:pt idx="77" c:formatCode="General">
                  <c:v>155969.7893</c:v>
                </c:pt>
                <c:pt idx="78" c:formatCode="General">
                  <c:v>239788.9029</c:v>
                </c:pt>
                <c:pt idx="79" c:formatCode="General">
                  <c:v>218468.4667</c:v>
                </c:pt>
                <c:pt idx="80" c:formatCode="General">
                  <c:v>149916.6824</c:v>
                </c:pt>
                <c:pt idx="81" c:formatCode="General">
                  <c:v>119715.769</c:v>
                </c:pt>
                <c:pt idx="82" c:formatCode="General">
                  <c:v>129783.7592</c:v>
                </c:pt>
                <c:pt idx="83" c:formatCode="General">
                  <c:v>181685.983</c:v>
                </c:pt>
                <c:pt idx="84" c:formatCode="General">
                  <c:v>192797.2548</c:v>
                </c:pt>
                <c:pt idx="85" c:formatCode="General">
                  <c:v>157446.7629</c:v>
                </c:pt>
                <c:pt idx="86" c:formatCode="General">
                  <c:v>146699.0444</c:v>
                </c:pt>
                <c:pt idx="87" c:formatCode="General">
                  <c:v>122680.203</c:v>
                </c:pt>
                <c:pt idx="88" c:formatCode="General">
                  <c:v>153271.1366</c:v>
                </c:pt>
                <c:pt idx="89" c:formatCode="General">
                  <c:v>167265.2132</c:v>
                </c:pt>
                <c:pt idx="90" c:formatCode="General">
                  <c:v>202163.4444</c:v>
                </c:pt>
                <c:pt idx="91" c:formatCode="General">
                  <c:v>333966.5</c:v>
                </c:pt>
                <c:pt idx="92" c:formatCode="General">
                  <c:v>267922.935192845</c:v>
                </c:pt>
                <c:pt idx="93" c:formatCode="General">
                  <c:v>144247.402904868</c:v>
                </c:pt>
                <c:pt idx="94" c:formatCode="General">
                  <c:v>180829.325307249</c:v>
                </c:pt>
                <c:pt idx="95" c:formatCode="General">
                  <c:v>292354.729657656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12723702"/>
        <c:axId val="873100273"/>
      </c:lineChart>
      <c:dateAx>
        <c:axId val="9127237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3100273"/>
        <c:crosses val="autoZero"/>
        <c:auto val="1"/>
        <c:lblAlgn val="ctr"/>
        <c:lblOffset val="100"/>
        <c:baseTimeUnit val="days"/>
      </c:dateAx>
      <c:valAx>
        <c:axId val="8731002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27237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售电量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趸售!$E$1</c:f>
              <c:strCache>
                <c:ptCount val="1"/>
                <c:pt idx="0">
                  <c:v>售电量预测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趸售!$A$2:$A$97</c:f>
              <c:strCache>
                <c:ptCount val="96"/>
                <c:pt idx="0" c:formatCode="yyyy&quot;年&quot;m&quot;月&quot;;@">
                  <c:v>2017年1月</c:v>
                </c:pt>
                <c:pt idx="1" c:formatCode="yyyy&quot;年&quot;m&quot;月&quot;;@">
                  <c:v>2017年2月</c:v>
                </c:pt>
                <c:pt idx="2" c:formatCode="yyyy&quot;年&quot;m&quot;月&quot;;@">
                  <c:v>2017年3月</c:v>
                </c:pt>
                <c:pt idx="3" c:formatCode="yyyy&quot;年&quot;m&quot;月&quot;;@">
                  <c:v>2017年4月</c:v>
                </c:pt>
                <c:pt idx="4" c:formatCode="yyyy&quot;年&quot;m&quot;月&quot;;@">
                  <c:v>2017年5月</c:v>
                </c:pt>
                <c:pt idx="5" c:formatCode="yyyy&quot;年&quot;m&quot;月&quot;;@">
                  <c:v>2017年6月</c:v>
                </c:pt>
                <c:pt idx="6" c:formatCode="yyyy&quot;年&quot;m&quot;月&quot;;@">
                  <c:v>2017年7月</c:v>
                </c:pt>
                <c:pt idx="7" c:formatCode="yyyy&quot;年&quot;m&quot;月&quot;;@">
                  <c:v>2017年8月</c:v>
                </c:pt>
                <c:pt idx="8" c:formatCode="yyyy&quot;年&quot;m&quot;月&quot;;@">
                  <c:v>2017年9月</c:v>
                </c:pt>
                <c:pt idx="9" c:formatCode="yyyy&quot;年&quot;m&quot;月&quot;;@">
                  <c:v>2017年10月</c:v>
                </c:pt>
                <c:pt idx="10" c:formatCode="yyyy&quot;年&quot;m&quot;月&quot;;@">
                  <c:v>2017年11月</c:v>
                </c:pt>
                <c:pt idx="11" c:formatCode="yyyy&quot;年&quot;m&quot;月&quot;;@">
                  <c:v>2017年12月</c:v>
                </c:pt>
                <c:pt idx="12" c:formatCode="yyyy&quot;年&quot;m&quot;月&quot;;@">
                  <c:v>2018年1月</c:v>
                </c:pt>
                <c:pt idx="13" c:formatCode="yyyy&quot;年&quot;m&quot;月&quot;;@">
                  <c:v>2018年2月</c:v>
                </c:pt>
                <c:pt idx="14" c:formatCode="yyyy&quot;年&quot;m&quot;月&quot;;@">
                  <c:v>2018年3月</c:v>
                </c:pt>
                <c:pt idx="15" c:formatCode="yyyy&quot;年&quot;m&quot;月&quot;;@">
                  <c:v>2018年4月</c:v>
                </c:pt>
                <c:pt idx="16" c:formatCode="yyyy&quot;年&quot;m&quot;月&quot;;@">
                  <c:v>2018年5月</c:v>
                </c:pt>
                <c:pt idx="17" c:formatCode="yyyy&quot;年&quot;m&quot;月&quot;;@">
                  <c:v>2018年6月</c:v>
                </c:pt>
                <c:pt idx="18" c:formatCode="yyyy&quot;年&quot;m&quot;月&quot;;@">
                  <c:v>2018年7月</c:v>
                </c:pt>
                <c:pt idx="19" c:formatCode="yyyy&quot;年&quot;m&quot;月&quot;;@">
                  <c:v>2018年8月</c:v>
                </c:pt>
                <c:pt idx="20" c:formatCode="yyyy&quot;年&quot;m&quot;月&quot;;@">
                  <c:v>2018年9月</c:v>
                </c:pt>
                <c:pt idx="21" c:formatCode="yyyy&quot;年&quot;m&quot;月&quot;;@">
                  <c:v>2018年10月</c:v>
                </c:pt>
                <c:pt idx="22" c:formatCode="yyyy&quot;年&quot;m&quot;月&quot;;@">
                  <c:v>2018年11月</c:v>
                </c:pt>
                <c:pt idx="23" c:formatCode="yyyy&quot;年&quot;m&quot;月&quot;;@">
                  <c:v>2018年12月</c:v>
                </c:pt>
                <c:pt idx="24" c:formatCode="yyyy&quot;年&quot;m&quot;月&quot;;@">
                  <c:v>2019年1月</c:v>
                </c:pt>
                <c:pt idx="25" c:formatCode="yyyy&quot;年&quot;m&quot;月&quot;;@">
                  <c:v>2019年2月</c:v>
                </c:pt>
                <c:pt idx="26" c:formatCode="yyyy&quot;年&quot;m&quot;月&quot;;@">
                  <c:v>2019年3月</c:v>
                </c:pt>
                <c:pt idx="27" c:formatCode="yyyy&quot;年&quot;m&quot;月&quot;;@">
                  <c:v>2019年4月</c:v>
                </c:pt>
                <c:pt idx="28" c:formatCode="yyyy&quot;年&quot;m&quot;月&quot;;@">
                  <c:v>2019年5月</c:v>
                </c:pt>
                <c:pt idx="29" c:formatCode="yyyy&quot;年&quot;m&quot;月&quot;;@">
                  <c:v>2019年6月</c:v>
                </c:pt>
                <c:pt idx="30" c:formatCode="yyyy&quot;年&quot;m&quot;月&quot;;@">
                  <c:v>2019年7月</c:v>
                </c:pt>
                <c:pt idx="31" c:formatCode="yyyy&quot;年&quot;m&quot;月&quot;;@">
                  <c:v>2019年8月</c:v>
                </c:pt>
                <c:pt idx="32" c:formatCode="yyyy&quot;年&quot;m&quot;月&quot;;@">
                  <c:v>2019年9月</c:v>
                </c:pt>
                <c:pt idx="33" c:formatCode="yyyy&quot;年&quot;m&quot;月&quot;;@">
                  <c:v>2019年10月</c:v>
                </c:pt>
                <c:pt idx="34" c:formatCode="yyyy&quot;年&quot;m&quot;月&quot;;@">
                  <c:v>2019年11月</c:v>
                </c:pt>
                <c:pt idx="35" c:formatCode="yyyy&quot;年&quot;m&quot;月&quot;;@">
                  <c:v>2019年12月</c:v>
                </c:pt>
                <c:pt idx="36" c:formatCode="yyyy&quot;年&quot;m&quot;月&quot;;@">
                  <c:v>2020年1月</c:v>
                </c:pt>
                <c:pt idx="37" c:formatCode="yyyy&quot;年&quot;m&quot;月&quot;;@">
                  <c:v>2020年2月</c:v>
                </c:pt>
                <c:pt idx="38" c:formatCode="yyyy&quot;年&quot;m&quot;月&quot;;@">
                  <c:v>2020年3月</c:v>
                </c:pt>
                <c:pt idx="39" c:formatCode="yyyy&quot;年&quot;m&quot;月&quot;;@">
                  <c:v>2020年4月</c:v>
                </c:pt>
                <c:pt idx="40" c:formatCode="yyyy&quot;年&quot;m&quot;月&quot;;@">
                  <c:v>2020年5月</c:v>
                </c:pt>
                <c:pt idx="41" c:formatCode="yyyy&quot;年&quot;m&quot;月&quot;;@">
                  <c:v>2020年6月</c:v>
                </c:pt>
                <c:pt idx="42" c:formatCode="yyyy&quot;年&quot;m&quot;月&quot;;@">
                  <c:v>2020年7月</c:v>
                </c:pt>
                <c:pt idx="43" c:formatCode="yyyy&quot;年&quot;m&quot;月&quot;;@">
                  <c:v>2020年8月</c:v>
                </c:pt>
                <c:pt idx="44" c:formatCode="yyyy&quot;年&quot;m&quot;月&quot;;@">
                  <c:v>2020年9月</c:v>
                </c:pt>
                <c:pt idx="45" c:formatCode="yyyy&quot;年&quot;m&quot;月&quot;;@">
                  <c:v>2020年10月</c:v>
                </c:pt>
                <c:pt idx="46" c:formatCode="yyyy&quot;年&quot;m&quot;月&quot;;@">
                  <c:v>2020年11月</c:v>
                </c:pt>
                <c:pt idx="47" c:formatCode="yyyy&quot;年&quot;m&quot;月&quot;;@">
                  <c:v>2020年12月</c:v>
                </c:pt>
                <c:pt idx="48" c:formatCode="yyyy&quot;年&quot;m&quot;月&quot;;@">
                  <c:v>2021年1月</c:v>
                </c:pt>
                <c:pt idx="49" c:formatCode="yyyy&quot;年&quot;m&quot;月&quot;;@">
                  <c:v>2021年2月</c:v>
                </c:pt>
                <c:pt idx="50" c:formatCode="yyyy&quot;年&quot;m&quot;月&quot;;@">
                  <c:v>2021年3月</c:v>
                </c:pt>
                <c:pt idx="51" c:formatCode="yyyy&quot;年&quot;m&quot;月&quot;;@">
                  <c:v>2021年4月</c:v>
                </c:pt>
                <c:pt idx="52" c:formatCode="yyyy&quot;年&quot;m&quot;月&quot;;@">
                  <c:v>2021年5月</c:v>
                </c:pt>
                <c:pt idx="53" c:formatCode="yyyy&quot;年&quot;m&quot;月&quot;;@">
                  <c:v>2021年6月</c:v>
                </c:pt>
                <c:pt idx="54" c:formatCode="yyyy&quot;年&quot;m&quot;月&quot;;@">
                  <c:v>2021年7月</c:v>
                </c:pt>
                <c:pt idx="55" c:formatCode="yyyy&quot;年&quot;m&quot;月&quot;;@">
                  <c:v>2021年8月</c:v>
                </c:pt>
                <c:pt idx="56" c:formatCode="yyyy&quot;年&quot;m&quot;月&quot;;@">
                  <c:v>2021年9月</c:v>
                </c:pt>
                <c:pt idx="57" c:formatCode="yyyy&quot;年&quot;m&quot;月&quot;;@">
                  <c:v>2021年10月</c:v>
                </c:pt>
                <c:pt idx="58" c:formatCode="yyyy&quot;年&quot;m&quot;月&quot;;@">
                  <c:v>2021年11月</c:v>
                </c:pt>
                <c:pt idx="59" c:formatCode="yyyy&quot;年&quot;m&quot;月&quot;;@">
                  <c:v>2021年12月</c:v>
                </c:pt>
                <c:pt idx="60" c:formatCode="yyyy&quot;年&quot;m&quot;月&quot;;@">
                  <c:v>2022年1月</c:v>
                </c:pt>
                <c:pt idx="61" c:formatCode="yyyy&quot;年&quot;m&quot;月&quot;;@">
                  <c:v>2022年2月</c:v>
                </c:pt>
                <c:pt idx="62" c:formatCode="yyyy&quot;年&quot;m&quot;月&quot;;@">
                  <c:v>2022年3月</c:v>
                </c:pt>
                <c:pt idx="63" c:formatCode="yyyy&quot;年&quot;m&quot;月&quot;;@">
                  <c:v>2022年4月</c:v>
                </c:pt>
                <c:pt idx="64" c:formatCode="yyyy&quot;年&quot;m&quot;月&quot;;@">
                  <c:v>2022年5月</c:v>
                </c:pt>
                <c:pt idx="65" c:formatCode="yyyy&quot;年&quot;m&quot;月&quot;;@">
                  <c:v>2022年6月</c:v>
                </c:pt>
                <c:pt idx="66" c:formatCode="yyyy&quot;年&quot;m&quot;月&quot;;@">
                  <c:v>2022年7月</c:v>
                </c:pt>
                <c:pt idx="67" c:formatCode="yyyy&quot;年&quot;m&quot;月&quot;;@">
                  <c:v>2022年8月</c:v>
                </c:pt>
                <c:pt idx="68" c:formatCode="yyyy&quot;年&quot;m&quot;月&quot;;@">
                  <c:v>2022年9月</c:v>
                </c:pt>
                <c:pt idx="69" c:formatCode="yyyy&quot;年&quot;m&quot;月&quot;;@">
                  <c:v>2022年10月</c:v>
                </c:pt>
                <c:pt idx="70" c:formatCode="yyyy&quot;年&quot;m&quot;月&quot;;@">
                  <c:v>2022年11月</c:v>
                </c:pt>
                <c:pt idx="71" c:formatCode="yyyy&quot;年&quot;m&quot;月&quot;;@">
                  <c:v>2022年12月</c:v>
                </c:pt>
                <c:pt idx="72" c:formatCode="yyyy&quot;年&quot;m&quot;月&quot;;@">
                  <c:v>2023年1月</c:v>
                </c:pt>
                <c:pt idx="73" c:formatCode="yyyy&quot;年&quot;m&quot;月&quot;;@">
                  <c:v>2023年2月</c:v>
                </c:pt>
                <c:pt idx="74" c:formatCode="yyyy&quot;年&quot;m&quot;月&quot;;@">
                  <c:v>2023年3月</c:v>
                </c:pt>
                <c:pt idx="75" c:formatCode="yyyy&quot;年&quot;m&quot;月&quot;;@">
                  <c:v>2023年4月</c:v>
                </c:pt>
                <c:pt idx="76" c:formatCode="yyyy&quot;年&quot;m&quot;月&quot;;@">
                  <c:v>2023年5月</c:v>
                </c:pt>
                <c:pt idx="77" c:formatCode="yyyy&quot;年&quot;m&quot;月&quot;;@">
                  <c:v>2023年6月</c:v>
                </c:pt>
                <c:pt idx="78" c:formatCode="yyyy&quot;年&quot;m&quot;月&quot;;@">
                  <c:v>2023年7月</c:v>
                </c:pt>
                <c:pt idx="79" c:formatCode="yyyy&quot;年&quot;m&quot;月&quot;;@">
                  <c:v>2023年8月</c:v>
                </c:pt>
                <c:pt idx="80" c:formatCode="yyyy&quot;年&quot;m&quot;月&quot;;@">
                  <c:v>2023年9月</c:v>
                </c:pt>
                <c:pt idx="81" c:formatCode="yyyy&quot;年&quot;m&quot;月&quot;;@">
                  <c:v>2023年10月</c:v>
                </c:pt>
                <c:pt idx="82" c:formatCode="yyyy&quot;年&quot;m&quot;月&quot;;@">
                  <c:v>2023年11月</c:v>
                </c:pt>
                <c:pt idx="83" c:formatCode="yyyy&quot;年&quot;m&quot;月&quot;;@">
                  <c:v>2023年12月</c:v>
                </c:pt>
                <c:pt idx="84">
                  <c:v>2024/1月</c:v>
                </c:pt>
                <c:pt idx="85">
                  <c:v>2024/2月</c:v>
                </c:pt>
                <c:pt idx="86">
                  <c:v>2024/3月</c:v>
                </c:pt>
                <c:pt idx="87">
                  <c:v>2024/4月</c:v>
                </c:pt>
                <c:pt idx="88">
                  <c:v>2024/5月</c:v>
                </c:pt>
                <c:pt idx="89">
                  <c:v>2024/6月</c:v>
                </c:pt>
                <c:pt idx="90">
                  <c:v>2024/7月</c:v>
                </c:pt>
                <c:pt idx="91">
                  <c:v>2024/8月</c:v>
                </c:pt>
                <c:pt idx="92">
                  <c:v>2024/9月</c:v>
                </c:pt>
                <c:pt idx="93">
                  <c:v>2024/10月</c:v>
                </c:pt>
                <c:pt idx="94">
                  <c:v>2024/11月</c:v>
                </c:pt>
                <c:pt idx="95">
                  <c:v>2024/12月</c:v>
                </c:pt>
              </c:strCache>
            </c:strRef>
          </c:cat>
          <c:val>
            <c:numRef>
              <c:f>趸售!$E$2:$E$97</c:f>
              <c:numCache>
                <c:formatCode>0.0000_);[Red]\(0.0000\)</c:formatCode>
                <c:ptCount val="96"/>
                <c:pt idx="0">
                  <c:v>5536.87779999998</c:v>
                </c:pt>
                <c:pt idx="1">
                  <c:v>3257.93360000001</c:v>
                </c:pt>
                <c:pt idx="2">
                  <c:v>1506.2418</c:v>
                </c:pt>
                <c:pt idx="3">
                  <c:v>1448.06759999999</c:v>
                </c:pt>
                <c:pt idx="4">
                  <c:v>1647.9194</c:v>
                </c:pt>
                <c:pt idx="5">
                  <c:v>2217.31240000001</c:v>
                </c:pt>
                <c:pt idx="6">
                  <c:v>3427.79940000001</c:v>
                </c:pt>
                <c:pt idx="7">
                  <c:v>4143.70419999998</c:v>
                </c:pt>
                <c:pt idx="8">
                  <c:v>6276.71099999997</c:v>
                </c:pt>
                <c:pt idx="9">
                  <c:v>6854.90960000001</c:v>
                </c:pt>
                <c:pt idx="10">
                  <c:v>8558.7588</c:v>
                </c:pt>
                <c:pt idx="11">
                  <c:v>8252.63719999997</c:v>
                </c:pt>
                <c:pt idx="12">
                  <c:v>9174.84080000003</c:v>
                </c:pt>
                <c:pt idx="13">
                  <c:v>6336.25879999999</c:v>
                </c:pt>
                <c:pt idx="14">
                  <c:v>6481.63799999997</c:v>
                </c:pt>
                <c:pt idx="15">
                  <c:v>8465.48859999996</c:v>
                </c:pt>
                <c:pt idx="16">
                  <c:v>8178.15969999997</c:v>
                </c:pt>
                <c:pt idx="17">
                  <c:v>7676.09580000002</c:v>
                </c:pt>
                <c:pt idx="18">
                  <c:v>8800.36259999998</c:v>
                </c:pt>
                <c:pt idx="19">
                  <c:v>8327.2542</c:v>
                </c:pt>
                <c:pt idx="20">
                  <c:v>8971.5478</c:v>
                </c:pt>
                <c:pt idx="21">
                  <c:v>9192.90900000001</c:v>
                </c:pt>
                <c:pt idx="22">
                  <c:v>9699.62919999998</c:v>
                </c:pt>
                <c:pt idx="23">
                  <c:v>8483.48380000001</c:v>
                </c:pt>
                <c:pt idx="24">
                  <c:v>7206.17380000002</c:v>
                </c:pt>
                <c:pt idx="25">
                  <c:v>1474.7948</c:v>
                </c:pt>
                <c:pt idx="26">
                  <c:v>5469.7566</c:v>
                </c:pt>
                <c:pt idx="27">
                  <c:v>8959.60899999999</c:v>
                </c:pt>
                <c:pt idx="28">
                  <c:v>10050.0588</c:v>
                </c:pt>
                <c:pt idx="29">
                  <c:v>9912.00380000003</c:v>
                </c:pt>
                <c:pt idx="30">
                  <c:v>8671.09179999998</c:v>
                </c:pt>
                <c:pt idx="31">
                  <c:v>7961.81479999997</c:v>
                </c:pt>
                <c:pt idx="32">
                  <c:v>7138.85800000002</c:v>
                </c:pt>
                <c:pt idx="33">
                  <c:v>8826.06759999997</c:v>
                </c:pt>
                <c:pt idx="34">
                  <c:v>7679.31939999999</c:v>
                </c:pt>
                <c:pt idx="35">
                  <c:v>10751.5839</c:v>
                </c:pt>
                <c:pt idx="36">
                  <c:v>5844.17490000001</c:v>
                </c:pt>
                <c:pt idx="37">
                  <c:v>1363.9352</c:v>
                </c:pt>
                <c:pt idx="38">
                  <c:v>2008.9927</c:v>
                </c:pt>
                <c:pt idx="39">
                  <c:v>10291.4959</c:v>
                </c:pt>
                <c:pt idx="40">
                  <c:v>9123.50319999997</c:v>
                </c:pt>
                <c:pt idx="41">
                  <c:v>9232.34659999997</c:v>
                </c:pt>
                <c:pt idx="42">
                  <c:v>8242.74950000001</c:v>
                </c:pt>
                <c:pt idx="43">
                  <c:v>9546.91759999998</c:v>
                </c:pt>
                <c:pt idx="44">
                  <c:v>7449.86190000002</c:v>
                </c:pt>
                <c:pt idx="45">
                  <c:v>10612.3902</c:v>
                </c:pt>
                <c:pt idx="46">
                  <c:v>9460.97839999998</c:v>
                </c:pt>
                <c:pt idx="47">
                  <c:v>11160.6865000001</c:v>
                </c:pt>
                <c:pt idx="48">
                  <c:v>11188.6332</c:v>
                </c:pt>
                <c:pt idx="49">
                  <c:v>4724.7232</c:v>
                </c:pt>
                <c:pt idx="50">
                  <c:v>9800.11459999999</c:v>
                </c:pt>
                <c:pt idx="51">
                  <c:v>11418.8578</c:v>
                </c:pt>
                <c:pt idx="52">
                  <c:v>13000.2621000001</c:v>
                </c:pt>
                <c:pt idx="53">
                  <c:v>11544.5788000001</c:v>
                </c:pt>
                <c:pt idx="54">
                  <c:v>9617.33999999992</c:v>
                </c:pt>
                <c:pt idx="55">
                  <c:v>10844.04</c:v>
                </c:pt>
                <c:pt idx="56">
                  <c:v>10534.749</c:v>
                </c:pt>
                <c:pt idx="57">
                  <c:v>11244.356</c:v>
                </c:pt>
                <c:pt idx="58">
                  <c:v>9280.497</c:v>
                </c:pt>
                <c:pt idx="59">
                  <c:v>8185.379</c:v>
                </c:pt>
                <c:pt idx="60">
                  <c:v>6272.823</c:v>
                </c:pt>
                <c:pt idx="61">
                  <c:v>4487.06200000001</c:v>
                </c:pt>
                <c:pt idx="62">
                  <c:v>12303.568</c:v>
                </c:pt>
                <c:pt idx="63">
                  <c:v>9873.11</c:v>
                </c:pt>
                <c:pt idx="64">
                  <c:v>9646.376</c:v>
                </c:pt>
                <c:pt idx="65">
                  <c:v>5605.81999999998</c:v>
                </c:pt>
                <c:pt idx="66">
                  <c:v>8485.46700000002</c:v>
                </c:pt>
                <c:pt idx="67">
                  <c:v>7323.63800000001</c:v>
                </c:pt>
                <c:pt idx="68">
                  <c:v>7190.36999999998</c:v>
                </c:pt>
                <c:pt idx="69">
                  <c:v>7259.939</c:v>
                </c:pt>
                <c:pt idx="70">
                  <c:v>9421.19499999995</c:v>
                </c:pt>
                <c:pt idx="71">
                  <c:v>7921.45</c:v>
                </c:pt>
                <c:pt idx="72">
                  <c:v>7483.97653803729</c:v>
                </c:pt>
                <c:pt idx="73">
                  <c:v>7650.41989716289</c:v>
                </c:pt>
                <c:pt idx="74">
                  <c:v>7862.5885792522</c:v>
                </c:pt>
                <c:pt idx="75">
                  <c:v>7952.64013089068</c:v>
                </c:pt>
                <c:pt idx="76">
                  <c:v>7742.37258832571</c:v>
                </c:pt>
                <c:pt idx="77">
                  <c:v>7466.18428157078</c:v>
                </c:pt>
                <c:pt idx="78">
                  <c:v>7214.15874875847</c:v>
                </c:pt>
                <c:pt idx="79">
                  <c:v>7032.72816399955</c:v>
                </c:pt>
                <c:pt idx="80">
                  <c:v>6928.83754235304</c:v>
                </c:pt>
                <c:pt idx="81">
                  <c:v>6858.0513469675</c:v>
                </c:pt>
                <c:pt idx="82">
                  <c:v>6946.43078573752</c:v>
                </c:pt>
                <c:pt idx="83">
                  <c:v>7042.3272185279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趸售!$F$1</c:f>
              <c:strCache>
                <c:ptCount val="1"/>
                <c:pt idx="0">
                  <c:v>历史售电量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趸售!$A$2:$A$97</c:f>
              <c:strCache>
                <c:ptCount val="96"/>
                <c:pt idx="0" c:formatCode="yyyy&quot;年&quot;m&quot;月&quot;;@">
                  <c:v>2017年1月</c:v>
                </c:pt>
                <c:pt idx="1" c:formatCode="yyyy&quot;年&quot;m&quot;月&quot;;@">
                  <c:v>2017年2月</c:v>
                </c:pt>
                <c:pt idx="2" c:formatCode="yyyy&quot;年&quot;m&quot;月&quot;;@">
                  <c:v>2017年3月</c:v>
                </c:pt>
                <c:pt idx="3" c:formatCode="yyyy&quot;年&quot;m&quot;月&quot;;@">
                  <c:v>2017年4月</c:v>
                </c:pt>
                <c:pt idx="4" c:formatCode="yyyy&quot;年&quot;m&quot;月&quot;;@">
                  <c:v>2017年5月</c:v>
                </c:pt>
                <c:pt idx="5" c:formatCode="yyyy&quot;年&quot;m&quot;月&quot;;@">
                  <c:v>2017年6月</c:v>
                </c:pt>
                <c:pt idx="6" c:formatCode="yyyy&quot;年&quot;m&quot;月&quot;;@">
                  <c:v>2017年7月</c:v>
                </c:pt>
                <c:pt idx="7" c:formatCode="yyyy&quot;年&quot;m&quot;月&quot;;@">
                  <c:v>2017年8月</c:v>
                </c:pt>
                <c:pt idx="8" c:formatCode="yyyy&quot;年&quot;m&quot;月&quot;;@">
                  <c:v>2017年9月</c:v>
                </c:pt>
                <c:pt idx="9" c:formatCode="yyyy&quot;年&quot;m&quot;月&quot;;@">
                  <c:v>2017年10月</c:v>
                </c:pt>
                <c:pt idx="10" c:formatCode="yyyy&quot;年&quot;m&quot;月&quot;;@">
                  <c:v>2017年11月</c:v>
                </c:pt>
                <c:pt idx="11" c:formatCode="yyyy&quot;年&quot;m&quot;月&quot;;@">
                  <c:v>2017年12月</c:v>
                </c:pt>
                <c:pt idx="12" c:formatCode="yyyy&quot;年&quot;m&quot;月&quot;;@">
                  <c:v>2018年1月</c:v>
                </c:pt>
                <c:pt idx="13" c:formatCode="yyyy&quot;年&quot;m&quot;月&quot;;@">
                  <c:v>2018年2月</c:v>
                </c:pt>
                <c:pt idx="14" c:formatCode="yyyy&quot;年&quot;m&quot;月&quot;;@">
                  <c:v>2018年3月</c:v>
                </c:pt>
                <c:pt idx="15" c:formatCode="yyyy&quot;年&quot;m&quot;月&quot;;@">
                  <c:v>2018年4月</c:v>
                </c:pt>
                <c:pt idx="16" c:formatCode="yyyy&quot;年&quot;m&quot;月&quot;;@">
                  <c:v>2018年5月</c:v>
                </c:pt>
                <c:pt idx="17" c:formatCode="yyyy&quot;年&quot;m&quot;月&quot;;@">
                  <c:v>2018年6月</c:v>
                </c:pt>
                <c:pt idx="18" c:formatCode="yyyy&quot;年&quot;m&quot;月&quot;;@">
                  <c:v>2018年7月</c:v>
                </c:pt>
                <c:pt idx="19" c:formatCode="yyyy&quot;年&quot;m&quot;月&quot;;@">
                  <c:v>2018年8月</c:v>
                </c:pt>
                <c:pt idx="20" c:formatCode="yyyy&quot;年&quot;m&quot;月&quot;;@">
                  <c:v>2018年9月</c:v>
                </c:pt>
                <c:pt idx="21" c:formatCode="yyyy&quot;年&quot;m&quot;月&quot;;@">
                  <c:v>2018年10月</c:v>
                </c:pt>
                <c:pt idx="22" c:formatCode="yyyy&quot;年&quot;m&quot;月&quot;;@">
                  <c:v>2018年11月</c:v>
                </c:pt>
                <c:pt idx="23" c:formatCode="yyyy&quot;年&quot;m&quot;月&quot;;@">
                  <c:v>2018年12月</c:v>
                </c:pt>
                <c:pt idx="24" c:formatCode="yyyy&quot;年&quot;m&quot;月&quot;;@">
                  <c:v>2019年1月</c:v>
                </c:pt>
                <c:pt idx="25" c:formatCode="yyyy&quot;年&quot;m&quot;月&quot;;@">
                  <c:v>2019年2月</c:v>
                </c:pt>
                <c:pt idx="26" c:formatCode="yyyy&quot;年&quot;m&quot;月&quot;;@">
                  <c:v>2019年3月</c:v>
                </c:pt>
                <c:pt idx="27" c:formatCode="yyyy&quot;年&quot;m&quot;月&quot;;@">
                  <c:v>2019年4月</c:v>
                </c:pt>
                <c:pt idx="28" c:formatCode="yyyy&quot;年&quot;m&quot;月&quot;;@">
                  <c:v>2019年5月</c:v>
                </c:pt>
                <c:pt idx="29" c:formatCode="yyyy&quot;年&quot;m&quot;月&quot;;@">
                  <c:v>2019年6月</c:v>
                </c:pt>
                <c:pt idx="30" c:formatCode="yyyy&quot;年&quot;m&quot;月&quot;;@">
                  <c:v>2019年7月</c:v>
                </c:pt>
                <c:pt idx="31" c:formatCode="yyyy&quot;年&quot;m&quot;月&quot;;@">
                  <c:v>2019年8月</c:v>
                </c:pt>
                <c:pt idx="32" c:formatCode="yyyy&quot;年&quot;m&quot;月&quot;;@">
                  <c:v>2019年9月</c:v>
                </c:pt>
                <c:pt idx="33" c:formatCode="yyyy&quot;年&quot;m&quot;月&quot;;@">
                  <c:v>2019年10月</c:v>
                </c:pt>
                <c:pt idx="34" c:formatCode="yyyy&quot;年&quot;m&quot;月&quot;;@">
                  <c:v>2019年11月</c:v>
                </c:pt>
                <c:pt idx="35" c:formatCode="yyyy&quot;年&quot;m&quot;月&quot;;@">
                  <c:v>2019年12月</c:v>
                </c:pt>
                <c:pt idx="36" c:formatCode="yyyy&quot;年&quot;m&quot;月&quot;;@">
                  <c:v>2020年1月</c:v>
                </c:pt>
                <c:pt idx="37" c:formatCode="yyyy&quot;年&quot;m&quot;月&quot;;@">
                  <c:v>2020年2月</c:v>
                </c:pt>
                <c:pt idx="38" c:formatCode="yyyy&quot;年&quot;m&quot;月&quot;;@">
                  <c:v>2020年3月</c:v>
                </c:pt>
                <c:pt idx="39" c:formatCode="yyyy&quot;年&quot;m&quot;月&quot;;@">
                  <c:v>2020年4月</c:v>
                </c:pt>
                <c:pt idx="40" c:formatCode="yyyy&quot;年&quot;m&quot;月&quot;;@">
                  <c:v>2020年5月</c:v>
                </c:pt>
                <c:pt idx="41" c:formatCode="yyyy&quot;年&quot;m&quot;月&quot;;@">
                  <c:v>2020年6月</c:v>
                </c:pt>
                <c:pt idx="42" c:formatCode="yyyy&quot;年&quot;m&quot;月&quot;;@">
                  <c:v>2020年7月</c:v>
                </c:pt>
                <c:pt idx="43" c:formatCode="yyyy&quot;年&quot;m&quot;月&quot;;@">
                  <c:v>2020年8月</c:v>
                </c:pt>
                <c:pt idx="44" c:formatCode="yyyy&quot;年&quot;m&quot;月&quot;;@">
                  <c:v>2020年9月</c:v>
                </c:pt>
                <c:pt idx="45" c:formatCode="yyyy&quot;年&quot;m&quot;月&quot;;@">
                  <c:v>2020年10月</c:v>
                </c:pt>
                <c:pt idx="46" c:formatCode="yyyy&quot;年&quot;m&quot;月&quot;;@">
                  <c:v>2020年11月</c:v>
                </c:pt>
                <c:pt idx="47" c:formatCode="yyyy&quot;年&quot;m&quot;月&quot;;@">
                  <c:v>2020年12月</c:v>
                </c:pt>
                <c:pt idx="48" c:formatCode="yyyy&quot;年&quot;m&quot;月&quot;;@">
                  <c:v>2021年1月</c:v>
                </c:pt>
                <c:pt idx="49" c:formatCode="yyyy&quot;年&quot;m&quot;月&quot;;@">
                  <c:v>2021年2月</c:v>
                </c:pt>
                <c:pt idx="50" c:formatCode="yyyy&quot;年&quot;m&quot;月&quot;;@">
                  <c:v>2021年3月</c:v>
                </c:pt>
                <c:pt idx="51" c:formatCode="yyyy&quot;年&quot;m&quot;月&quot;;@">
                  <c:v>2021年4月</c:v>
                </c:pt>
                <c:pt idx="52" c:formatCode="yyyy&quot;年&quot;m&quot;月&quot;;@">
                  <c:v>2021年5月</c:v>
                </c:pt>
                <c:pt idx="53" c:formatCode="yyyy&quot;年&quot;m&quot;月&quot;;@">
                  <c:v>2021年6月</c:v>
                </c:pt>
                <c:pt idx="54" c:formatCode="yyyy&quot;年&quot;m&quot;月&quot;;@">
                  <c:v>2021年7月</c:v>
                </c:pt>
                <c:pt idx="55" c:formatCode="yyyy&quot;年&quot;m&quot;月&quot;;@">
                  <c:v>2021年8月</c:v>
                </c:pt>
                <c:pt idx="56" c:formatCode="yyyy&quot;年&quot;m&quot;月&quot;;@">
                  <c:v>2021年9月</c:v>
                </c:pt>
                <c:pt idx="57" c:formatCode="yyyy&quot;年&quot;m&quot;月&quot;;@">
                  <c:v>2021年10月</c:v>
                </c:pt>
                <c:pt idx="58" c:formatCode="yyyy&quot;年&quot;m&quot;月&quot;;@">
                  <c:v>2021年11月</c:v>
                </c:pt>
                <c:pt idx="59" c:formatCode="yyyy&quot;年&quot;m&quot;月&quot;;@">
                  <c:v>2021年12月</c:v>
                </c:pt>
                <c:pt idx="60" c:formatCode="yyyy&quot;年&quot;m&quot;月&quot;;@">
                  <c:v>2022年1月</c:v>
                </c:pt>
                <c:pt idx="61" c:formatCode="yyyy&quot;年&quot;m&quot;月&quot;;@">
                  <c:v>2022年2月</c:v>
                </c:pt>
                <c:pt idx="62" c:formatCode="yyyy&quot;年&quot;m&quot;月&quot;;@">
                  <c:v>2022年3月</c:v>
                </c:pt>
                <c:pt idx="63" c:formatCode="yyyy&quot;年&quot;m&quot;月&quot;;@">
                  <c:v>2022年4月</c:v>
                </c:pt>
                <c:pt idx="64" c:formatCode="yyyy&quot;年&quot;m&quot;月&quot;;@">
                  <c:v>2022年5月</c:v>
                </c:pt>
                <c:pt idx="65" c:formatCode="yyyy&quot;年&quot;m&quot;月&quot;;@">
                  <c:v>2022年6月</c:v>
                </c:pt>
                <c:pt idx="66" c:formatCode="yyyy&quot;年&quot;m&quot;月&quot;;@">
                  <c:v>2022年7月</c:v>
                </c:pt>
                <c:pt idx="67" c:formatCode="yyyy&quot;年&quot;m&quot;月&quot;;@">
                  <c:v>2022年8月</c:v>
                </c:pt>
                <c:pt idx="68" c:formatCode="yyyy&quot;年&quot;m&quot;月&quot;;@">
                  <c:v>2022年9月</c:v>
                </c:pt>
                <c:pt idx="69" c:formatCode="yyyy&quot;年&quot;m&quot;月&quot;;@">
                  <c:v>2022年10月</c:v>
                </c:pt>
                <c:pt idx="70" c:formatCode="yyyy&quot;年&quot;m&quot;月&quot;;@">
                  <c:v>2022年11月</c:v>
                </c:pt>
                <c:pt idx="71" c:formatCode="yyyy&quot;年&quot;m&quot;月&quot;;@">
                  <c:v>2022年12月</c:v>
                </c:pt>
                <c:pt idx="72" c:formatCode="yyyy&quot;年&quot;m&quot;月&quot;;@">
                  <c:v>2023年1月</c:v>
                </c:pt>
                <c:pt idx="73" c:formatCode="yyyy&quot;年&quot;m&quot;月&quot;;@">
                  <c:v>2023年2月</c:v>
                </c:pt>
                <c:pt idx="74" c:formatCode="yyyy&quot;年&quot;m&quot;月&quot;;@">
                  <c:v>2023年3月</c:v>
                </c:pt>
                <c:pt idx="75" c:formatCode="yyyy&quot;年&quot;m&quot;月&quot;;@">
                  <c:v>2023年4月</c:v>
                </c:pt>
                <c:pt idx="76" c:formatCode="yyyy&quot;年&quot;m&quot;月&quot;;@">
                  <c:v>2023年5月</c:v>
                </c:pt>
                <c:pt idx="77" c:formatCode="yyyy&quot;年&quot;m&quot;月&quot;;@">
                  <c:v>2023年6月</c:v>
                </c:pt>
                <c:pt idx="78" c:formatCode="yyyy&quot;年&quot;m&quot;月&quot;;@">
                  <c:v>2023年7月</c:v>
                </c:pt>
                <c:pt idx="79" c:formatCode="yyyy&quot;年&quot;m&quot;月&quot;;@">
                  <c:v>2023年8月</c:v>
                </c:pt>
                <c:pt idx="80" c:formatCode="yyyy&quot;年&quot;m&quot;月&quot;;@">
                  <c:v>2023年9月</c:v>
                </c:pt>
                <c:pt idx="81" c:formatCode="yyyy&quot;年&quot;m&quot;月&quot;;@">
                  <c:v>2023年10月</c:v>
                </c:pt>
                <c:pt idx="82" c:formatCode="yyyy&quot;年&quot;m&quot;月&quot;;@">
                  <c:v>2023年11月</c:v>
                </c:pt>
                <c:pt idx="83" c:formatCode="yyyy&quot;年&quot;m&quot;月&quot;;@">
                  <c:v>2023年12月</c:v>
                </c:pt>
                <c:pt idx="84">
                  <c:v>2024/1月</c:v>
                </c:pt>
                <c:pt idx="85">
                  <c:v>2024/2月</c:v>
                </c:pt>
                <c:pt idx="86">
                  <c:v>2024/3月</c:v>
                </c:pt>
                <c:pt idx="87">
                  <c:v>2024/4月</c:v>
                </c:pt>
                <c:pt idx="88">
                  <c:v>2024/5月</c:v>
                </c:pt>
                <c:pt idx="89">
                  <c:v>2024/6月</c:v>
                </c:pt>
                <c:pt idx="90">
                  <c:v>2024/7月</c:v>
                </c:pt>
                <c:pt idx="91">
                  <c:v>2024/8月</c:v>
                </c:pt>
                <c:pt idx="92">
                  <c:v>2024/9月</c:v>
                </c:pt>
                <c:pt idx="93">
                  <c:v>2024/10月</c:v>
                </c:pt>
                <c:pt idx="94">
                  <c:v>2024/11月</c:v>
                </c:pt>
                <c:pt idx="95">
                  <c:v>2024/12月</c:v>
                </c:pt>
              </c:strCache>
            </c:strRef>
          </c:cat>
          <c:val>
            <c:numRef>
              <c:f>趸售!$F$2:$F$97</c:f>
              <c:numCache>
                <c:formatCode>0.0000_);[Red]\(0.0000\)</c:formatCode>
                <c:ptCount val="96"/>
                <c:pt idx="0">
                  <c:v>5536.8778</c:v>
                </c:pt>
                <c:pt idx="1">
                  <c:v>3257.9336</c:v>
                </c:pt>
                <c:pt idx="2">
                  <c:v>1506.2418</c:v>
                </c:pt>
                <c:pt idx="3">
                  <c:v>1448.0676</c:v>
                </c:pt>
                <c:pt idx="4">
                  <c:v>1647.9194</c:v>
                </c:pt>
                <c:pt idx="5">
                  <c:v>2217.3124</c:v>
                </c:pt>
                <c:pt idx="6">
                  <c:v>3427.7994</c:v>
                </c:pt>
                <c:pt idx="7">
                  <c:v>4143.7042</c:v>
                </c:pt>
                <c:pt idx="8">
                  <c:v>6276.711</c:v>
                </c:pt>
                <c:pt idx="9">
                  <c:v>6854.9096</c:v>
                </c:pt>
                <c:pt idx="10">
                  <c:v>8558.7588</c:v>
                </c:pt>
                <c:pt idx="11">
                  <c:v>8252.6372</c:v>
                </c:pt>
                <c:pt idx="12">
                  <c:v>9174.8408</c:v>
                </c:pt>
                <c:pt idx="13">
                  <c:v>6336.2588</c:v>
                </c:pt>
                <c:pt idx="14">
                  <c:v>6481.638</c:v>
                </c:pt>
                <c:pt idx="15">
                  <c:v>8465.4886</c:v>
                </c:pt>
                <c:pt idx="16">
                  <c:v>8178.1597</c:v>
                </c:pt>
                <c:pt idx="17">
                  <c:v>7676.0958</c:v>
                </c:pt>
                <c:pt idx="18">
                  <c:v>8800.3626</c:v>
                </c:pt>
                <c:pt idx="19">
                  <c:v>8327.2542</c:v>
                </c:pt>
                <c:pt idx="20">
                  <c:v>8971.5478</c:v>
                </c:pt>
                <c:pt idx="21">
                  <c:v>9192.909</c:v>
                </c:pt>
                <c:pt idx="22">
                  <c:v>9699.6292</c:v>
                </c:pt>
                <c:pt idx="23">
                  <c:v>8483.4838</c:v>
                </c:pt>
                <c:pt idx="24">
                  <c:v>7206.1738</c:v>
                </c:pt>
                <c:pt idx="25">
                  <c:v>1474.7948</c:v>
                </c:pt>
                <c:pt idx="26">
                  <c:v>5469.7566</c:v>
                </c:pt>
                <c:pt idx="27">
                  <c:v>8959.609</c:v>
                </c:pt>
                <c:pt idx="28">
                  <c:v>10050.0588</c:v>
                </c:pt>
                <c:pt idx="29">
                  <c:v>9912.0038</c:v>
                </c:pt>
                <c:pt idx="30">
                  <c:v>8671.0918</c:v>
                </c:pt>
                <c:pt idx="31">
                  <c:v>7961.8148</c:v>
                </c:pt>
                <c:pt idx="32">
                  <c:v>7138.858</c:v>
                </c:pt>
                <c:pt idx="33">
                  <c:v>8826.0676</c:v>
                </c:pt>
                <c:pt idx="34">
                  <c:v>7679.3194</c:v>
                </c:pt>
                <c:pt idx="35">
                  <c:v>10751.5839</c:v>
                </c:pt>
                <c:pt idx="36">
                  <c:v>5844.1749</c:v>
                </c:pt>
                <c:pt idx="37">
                  <c:v>1363.9352</c:v>
                </c:pt>
                <c:pt idx="38">
                  <c:v>2008.9927</c:v>
                </c:pt>
                <c:pt idx="39">
                  <c:v>10291.4959</c:v>
                </c:pt>
                <c:pt idx="40">
                  <c:v>9123.5032</c:v>
                </c:pt>
                <c:pt idx="41">
                  <c:v>9232.3466</c:v>
                </c:pt>
                <c:pt idx="42">
                  <c:v>8242.7495</c:v>
                </c:pt>
                <c:pt idx="43">
                  <c:v>9546.9176</c:v>
                </c:pt>
                <c:pt idx="44">
                  <c:v>7449.8619</c:v>
                </c:pt>
                <c:pt idx="45">
                  <c:v>10612.3902</c:v>
                </c:pt>
                <c:pt idx="46">
                  <c:v>9460.9784</c:v>
                </c:pt>
                <c:pt idx="47">
                  <c:v>11160.6865</c:v>
                </c:pt>
                <c:pt idx="48" c:formatCode="General">
                  <c:v>11188.6332</c:v>
                </c:pt>
                <c:pt idx="49" c:formatCode="General">
                  <c:v>4724.7232</c:v>
                </c:pt>
                <c:pt idx="50" c:formatCode="General">
                  <c:v>9800.1146</c:v>
                </c:pt>
                <c:pt idx="51" c:formatCode="General">
                  <c:v>11418.8578</c:v>
                </c:pt>
                <c:pt idx="52" c:formatCode="General">
                  <c:v>13000.2621</c:v>
                </c:pt>
                <c:pt idx="53" c:formatCode="General">
                  <c:v>11544.5788</c:v>
                </c:pt>
                <c:pt idx="54" c:formatCode="General">
                  <c:v>9617.34</c:v>
                </c:pt>
                <c:pt idx="55" c:formatCode="General">
                  <c:v>10844.04</c:v>
                </c:pt>
                <c:pt idx="56" c:formatCode="General">
                  <c:v>10534.749</c:v>
                </c:pt>
                <c:pt idx="57" c:formatCode="General">
                  <c:v>11244.356</c:v>
                </c:pt>
                <c:pt idx="58" c:formatCode="General">
                  <c:v>9280.497</c:v>
                </c:pt>
                <c:pt idx="59" c:formatCode="General">
                  <c:v>8185.379</c:v>
                </c:pt>
                <c:pt idx="60" c:formatCode="General">
                  <c:v>6272.823</c:v>
                </c:pt>
                <c:pt idx="61" c:formatCode="General">
                  <c:v>4487.062</c:v>
                </c:pt>
                <c:pt idx="62" c:formatCode="General">
                  <c:v>12303.568</c:v>
                </c:pt>
                <c:pt idx="63" c:formatCode="General">
                  <c:v>9873.11</c:v>
                </c:pt>
                <c:pt idx="64" c:formatCode="General">
                  <c:v>9646.376</c:v>
                </c:pt>
                <c:pt idx="65" c:formatCode="General">
                  <c:v>5605.82</c:v>
                </c:pt>
                <c:pt idx="66" c:formatCode="General">
                  <c:v>8485.467</c:v>
                </c:pt>
                <c:pt idx="67" c:formatCode="General">
                  <c:v>7323.638</c:v>
                </c:pt>
                <c:pt idx="68" c:formatCode="General">
                  <c:v>7190.37</c:v>
                </c:pt>
                <c:pt idx="69" c:formatCode="General">
                  <c:v>7259.939</c:v>
                </c:pt>
                <c:pt idx="70" c:formatCode="General">
                  <c:v>9421.195</c:v>
                </c:pt>
                <c:pt idx="71" c:formatCode="General">
                  <c:v>7921.45</c:v>
                </c:pt>
                <c:pt idx="72" c:formatCode="General">
                  <c:v>3267.137</c:v>
                </c:pt>
                <c:pt idx="73" c:formatCode="General">
                  <c:v>7111.848</c:v>
                </c:pt>
                <c:pt idx="74" c:formatCode="General">
                  <c:v>12596.423</c:v>
                </c:pt>
                <c:pt idx="75" c:formatCode="General">
                  <c:v>11377.776</c:v>
                </c:pt>
                <c:pt idx="76" c:formatCode="General">
                  <c:v>10615.6634</c:v>
                </c:pt>
                <c:pt idx="77" c:formatCode="General">
                  <c:v>7039.265</c:v>
                </c:pt>
                <c:pt idx="78" c:formatCode="General">
                  <c:v>8466.881</c:v>
                </c:pt>
                <c:pt idx="79" c:formatCode="General">
                  <c:v>7753.81</c:v>
                </c:pt>
                <c:pt idx="80" c:formatCode="General">
                  <c:v>8228.211</c:v>
                </c:pt>
                <c:pt idx="81" c:formatCode="General">
                  <c:v>8158.224</c:v>
                </c:pt>
                <c:pt idx="82" c:formatCode="General">
                  <c:v>7128.224</c:v>
                </c:pt>
                <c:pt idx="83" c:formatCode="General">
                  <c:v>9735.912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66063575"/>
        <c:axId val="816981701"/>
      </c:lineChart>
      <c:dateAx>
        <c:axId val="5660635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981701"/>
        <c:crosses val="autoZero"/>
        <c:auto val="1"/>
        <c:lblAlgn val="ctr"/>
        <c:lblOffset val="100"/>
        <c:baseTimeUnit val="days"/>
      </c:dateAx>
      <c:valAx>
        <c:axId val="8169817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6063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330200</xdr:colOff>
      <xdr:row>2</xdr:row>
      <xdr:rowOff>33020</xdr:rowOff>
    </xdr:from>
    <xdr:to>
      <xdr:col>19</xdr:col>
      <xdr:colOff>279400</xdr:colOff>
      <xdr:row>17</xdr:row>
      <xdr:rowOff>147320</xdr:rowOff>
    </xdr:to>
    <xdr:graphicFrame>
      <xdr:nvGraphicFramePr>
        <xdr:cNvPr id="2" name="图表 1"/>
        <xdr:cNvGraphicFramePr/>
      </xdr:nvGraphicFramePr>
      <xdr:xfrm>
        <a:off x="6390005" y="383540"/>
        <a:ext cx="87274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342900</xdr:colOff>
      <xdr:row>18</xdr:row>
      <xdr:rowOff>7620</xdr:rowOff>
    </xdr:from>
    <xdr:to>
      <xdr:col>19</xdr:col>
      <xdr:colOff>292100</xdr:colOff>
      <xdr:row>33</xdr:row>
      <xdr:rowOff>121920</xdr:rowOff>
    </xdr:to>
    <xdr:graphicFrame>
      <xdr:nvGraphicFramePr>
        <xdr:cNvPr id="3" name="图表 2"/>
        <xdr:cNvGraphicFramePr/>
      </xdr:nvGraphicFramePr>
      <xdr:xfrm>
        <a:off x="6402705" y="3162300"/>
        <a:ext cx="87274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71120</xdr:colOff>
      <xdr:row>0</xdr:row>
      <xdr:rowOff>10160</xdr:rowOff>
    </xdr:from>
    <xdr:to>
      <xdr:col>14</xdr:col>
      <xdr:colOff>20320</xdr:colOff>
      <xdr:row>15</xdr:row>
      <xdr:rowOff>124460</xdr:rowOff>
    </xdr:to>
    <xdr:graphicFrame>
      <xdr:nvGraphicFramePr>
        <xdr:cNvPr id="2" name="图表 1"/>
        <xdr:cNvGraphicFramePr/>
      </xdr:nvGraphicFramePr>
      <xdr:xfrm>
        <a:off x="5292725" y="10160"/>
        <a:ext cx="51003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68580</xdr:colOff>
      <xdr:row>16</xdr:row>
      <xdr:rowOff>99060</xdr:rowOff>
    </xdr:from>
    <xdr:to>
      <xdr:col>14</xdr:col>
      <xdr:colOff>17780</xdr:colOff>
      <xdr:row>32</xdr:row>
      <xdr:rowOff>38100</xdr:rowOff>
    </xdr:to>
    <xdr:graphicFrame>
      <xdr:nvGraphicFramePr>
        <xdr:cNvPr id="3" name="图表 2"/>
        <xdr:cNvGraphicFramePr/>
      </xdr:nvGraphicFramePr>
      <xdr:xfrm>
        <a:off x="5290185" y="2903220"/>
        <a:ext cx="51003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170180</xdr:colOff>
      <xdr:row>2</xdr:row>
      <xdr:rowOff>25400</xdr:rowOff>
    </xdr:from>
    <xdr:to>
      <xdr:col>14</xdr:col>
      <xdr:colOff>119380</xdr:colOff>
      <xdr:row>17</xdr:row>
      <xdr:rowOff>139700</xdr:rowOff>
    </xdr:to>
    <xdr:graphicFrame>
      <xdr:nvGraphicFramePr>
        <xdr:cNvPr id="2" name="图表 1"/>
        <xdr:cNvGraphicFramePr/>
      </xdr:nvGraphicFramePr>
      <xdr:xfrm>
        <a:off x="5391785" y="375920"/>
        <a:ext cx="4879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109220</xdr:colOff>
      <xdr:row>0</xdr:row>
      <xdr:rowOff>147320</xdr:rowOff>
    </xdr:from>
    <xdr:to>
      <xdr:col>13</xdr:col>
      <xdr:colOff>340360</xdr:colOff>
      <xdr:row>16</xdr:row>
      <xdr:rowOff>86360</xdr:rowOff>
    </xdr:to>
    <xdr:graphicFrame>
      <xdr:nvGraphicFramePr>
        <xdr:cNvPr id="2" name="图表 1"/>
        <xdr:cNvGraphicFramePr/>
      </xdr:nvGraphicFramePr>
      <xdr:xfrm>
        <a:off x="5330825" y="1473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276860</xdr:colOff>
      <xdr:row>0</xdr:row>
      <xdr:rowOff>635</xdr:rowOff>
    </xdr:from>
    <xdr:to>
      <xdr:col>14</xdr:col>
      <xdr:colOff>226060</xdr:colOff>
      <xdr:row>15</xdr:row>
      <xdr:rowOff>114935</xdr:rowOff>
    </xdr:to>
    <xdr:graphicFrame>
      <xdr:nvGraphicFramePr>
        <xdr:cNvPr id="2" name="图表 1"/>
        <xdr:cNvGraphicFramePr/>
      </xdr:nvGraphicFramePr>
      <xdr:xfrm>
        <a:off x="5498465" y="635"/>
        <a:ext cx="5511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3"/>
  <sheetViews>
    <sheetView workbookViewId="0">
      <pane ySplit="1" topLeftCell="A26" activePane="bottomLeft" state="frozen"/>
      <selection/>
      <selection pane="bottomLeft" activeCell="F38" sqref="F38:F93"/>
    </sheetView>
  </sheetViews>
  <sheetFormatPr defaultColWidth="9" defaultRowHeight="13.8"/>
  <cols>
    <col min="1" max="1" width="12.25" style="2" customWidth="1"/>
    <col min="2" max="2" width="15.3333333333333" style="24" customWidth="1"/>
    <col min="3" max="3" width="13.8333333333333" style="24" customWidth="1"/>
    <col min="4" max="4" width="16.75" style="24" customWidth="1"/>
    <col min="5" max="5" width="11.5833333333333" style="24" customWidth="1"/>
    <col min="6" max="6" width="13.8333333333333" style="24" customWidth="1"/>
    <col min="7" max="7" width="11.5833333333333" style="24" customWidth="1"/>
    <col min="8" max="8" width="12.25" customWidth="1"/>
    <col min="9" max="9" width="12.75" customWidth="1"/>
  </cols>
  <sheetData>
    <row r="1" spans="1:7">
      <c r="A1" s="1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</row>
    <row r="2" spans="1:9">
      <c r="A2" s="2">
        <v>42736</v>
      </c>
      <c r="B2" s="4">
        <v>376978.3572</v>
      </c>
      <c r="C2" s="13">
        <v>144710.7303</v>
      </c>
      <c r="D2" s="13">
        <v>116250.438</v>
      </c>
      <c r="E2" s="13">
        <v>1905.8074</v>
      </c>
      <c r="F2" s="13">
        <v>108574.5037</v>
      </c>
      <c r="G2" s="13">
        <v>5536.8778</v>
      </c>
      <c r="H2" s="24"/>
      <c r="I2" s="24"/>
    </row>
    <row r="3" spans="1:9">
      <c r="A3" s="2">
        <v>42767</v>
      </c>
      <c r="B3" s="4">
        <v>328899.7455</v>
      </c>
      <c r="C3" s="4">
        <v>105515.7564</v>
      </c>
      <c r="D3" s="4">
        <v>105662.6952</v>
      </c>
      <c r="E3" s="4">
        <v>1859.6599</v>
      </c>
      <c r="F3" s="4">
        <v>112603.7004</v>
      </c>
      <c r="G3" s="4">
        <v>3257.9336</v>
      </c>
      <c r="H3" s="24"/>
      <c r="I3" s="24"/>
    </row>
    <row r="4" spans="1:9">
      <c r="A4" s="2">
        <v>42795</v>
      </c>
      <c r="B4" s="4">
        <v>332606.6998</v>
      </c>
      <c r="C4" s="4">
        <v>129305.1441</v>
      </c>
      <c r="D4" s="4">
        <v>101681.3952</v>
      </c>
      <c r="E4" s="4">
        <v>1853.0115</v>
      </c>
      <c r="F4" s="4">
        <v>98260.9072</v>
      </c>
      <c r="G4" s="4">
        <v>1506.2418</v>
      </c>
      <c r="H4" s="24"/>
      <c r="I4" s="24"/>
    </row>
    <row r="5" spans="1:9">
      <c r="A5" s="2">
        <v>42826</v>
      </c>
      <c r="B5" s="4">
        <v>353452.7907</v>
      </c>
      <c r="C5" s="4">
        <v>147732.5171</v>
      </c>
      <c r="D5" s="4">
        <v>106647.5123</v>
      </c>
      <c r="E5" s="4">
        <v>2003.6547</v>
      </c>
      <c r="F5" s="4">
        <v>95621.039</v>
      </c>
      <c r="G5" s="4">
        <v>1448.0676</v>
      </c>
      <c r="H5" s="24"/>
      <c r="I5" s="24"/>
    </row>
    <row r="6" spans="1:9">
      <c r="A6" s="2">
        <v>42856</v>
      </c>
      <c r="B6" s="4">
        <v>323910.6642</v>
      </c>
      <c r="C6" s="4">
        <v>142396.0015</v>
      </c>
      <c r="D6" s="4">
        <v>98772.1575</v>
      </c>
      <c r="E6" s="4">
        <v>2227.2824</v>
      </c>
      <c r="F6" s="4">
        <v>78867.3034</v>
      </c>
      <c r="G6" s="4">
        <v>1647.9194</v>
      </c>
      <c r="H6" s="24"/>
      <c r="I6" s="24"/>
    </row>
    <row r="7" spans="1:9">
      <c r="A7" s="2">
        <v>42887</v>
      </c>
      <c r="B7" s="4">
        <v>364070.1595</v>
      </c>
      <c r="C7" s="4">
        <v>153729.3926</v>
      </c>
      <c r="D7" s="4">
        <v>116810.9185</v>
      </c>
      <c r="E7" s="4">
        <v>3319.8793</v>
      </c>
      <c r="F7" s="4">
        <v>87992.6567</v>
      </c>
      <c r="G7" s="4">
        <v>2217.3124</v>
      </c>
      <c r="H7" s="24"/>
      <c r="I7" s="24"/>
    </row>
    <row r="8" spans="1:9">
      <c r="A8" s="2">
        <v>42917</v>
      </c>
      <c r="B8" s="4">
        <v>386708.8352</v>
      </c>
      <c r="C8" s="4">
        <v>151946</v>
      </c>
      <c r="D8" s="4">
        <v>130005.0461</v>
      </c>
      <c r="E8" s="4">
        <v>2871.8242</v>
      </c>
      <c r="F8" s="4">
        <v>98457.6522</v>
      </c>
      <c r="G8" s="4">
        <v>3427.7994</v>
      </c>
      <c r="H8" s="24"/>
      <c r="I8" s="24"/>
    </row>
    <row r="9" spans="1:9">
      <c r="A9" s="2">
        <v>42948</v>
      </c>
      <c r="B9" s="4">
        <v>491597.9336</v>
      </c>
      <c r="C9" s="4">
        <v>153389</v>
      </c>
      <c r="D9" s="4">
        <v>160876.1052</v>
      </c>
      <c r="E9" s="4">
        <v>3004.1026</v>
      </c>
      <c r="F9" s="4">
        <v>170184.221</v>
      </c>
      <c r="G9" s="4">
        <v>4143.7042</v>
      </c>
      <c r="H9" s="24"/>
      <c r="I9" s="24"/>
    </row>
    <row r="10" spans="1:9">
      <c r="A10" s="2">
        <v>42979</v>
      </c>
      <c r="B10" s="4">
        <v>407096.8278</v>
      </c>
      <c r="C10" s="4">
        <v>141842</v>
      </c>
      <c r="D10" s="4">
        <v>134618.7033</v>
      </c>
      <c r="E10" s="4">
        <v>2651.2455</v>
      </c>
      <c r="F10" s="4">
        <v>121708.7649</v>
      </c>
      <c r="G10" s="4">
        <v>6276.711</v>
      </c>
      <c r="H10" s="24"/>
      <c r="I10" s="24"/>
    </row>
    <row r="11" spans="1:9">
      <c r="A11" s="2">
        <v>43009</v>
      </c>
      <c r="B11" s="4">
        <v>352318.6609</v>
      </c>
      <c r="C11" s="4">
        <v>147797</v>
      </c>
      <c r="D11" s="4">
        <v>111428.3072</v>
      </c>
      <c r="E11" s="4">
        <v>2363.7912</v>
      </c>
      <c r="F11" s="4">
        <v>83874.2119</v>
      </c>
      <c r="G11" s="4">
        <v>6854.9096</v>
      </c>
      <c r="H11" s="24"/>
      <c r="I11" s="24"/>
    </row>
    <row r="12" spans="1:9">
      <c r="A12" s="2">
        <v>43040</v>
      </c>
      <c r="B12" s="4">
        <v>362838.0952</v>
      </c>
      <c r="C12" s="4">
        <v>161625</v>
      </c>
      <c r="D12" s="4">
        <v>104166.339</v>
      </c>
      <c r="E12" s="4">
        <v>2197.9348</v>
      </c>
      <c r="F12" s="4">
        <v>86289.9804</v>
      </c>
      <c r="G12" s="4">
        <v>8558.7588</v>
      </c>
      <c r="H12" s="24"/>
      <c r="I12" s="24"/>
    </row>
    <row r="13" spans="1:9">
      <c r="A13" s="2">
        <v>43070</v>
      </c>
      <c r="B13" s="4">
        <v>381563.0517</v>
      </c>
      <c r="C13" s="4">
        <v>163415</v>
      </c>
      <c r="D13" s="4">
        <v>110745.4645</v>
      </c>
      <c r="E13" s="4">
        <v>2078.3282</v>
      </c>
      <c r="F13" s="4">
        <v>97071.5835</v>
      </c>
      <c r="G13" s="4">
        <v>8252.6372</v>
      </c>
      <c r="H13" s="24"/>
      <c r="I13" s="24"/>
    </row>
    <row r="14" spans="1:9">
      <c r="A14" s="2">
        <v>43101</v>
      </c>
      <c r="B14" s="4">
        <v>445198.1312</v>
      </c>
      <c r="C14" s="4">
        <v>163673.9217</v>
      </c>
      <c r="D14" s="4">
        <v>135800.289</v>
      </c>
      <c r="E14" s="4">
        <v>2237.2536</v>
      </c>
      <c r="F14" s="4">
        <v>134311.8261</v>
      </c>
      <c r="G14" s="4">
        <v>9174.8408</v>
      </c>
      <c r="H14" s="24"/>
      <c r="I14" s="24"/>
    </row>
    <row r="15" spans="1:9">
      <c r="A15" s="2">
        <v>43132</v>
      </c>
      <c r="B15" s="4">
        <v>437408.8545</v>
      </c>
      <c r="C15" s="4">
        <v>150168.7271</v>
      </c>
      <c r="D15" s="4">
        <v>135741.5817</v>
      </c>
      <c r="E15" s="4">
        <v>2357.6473</v>
      </c>
      <c r="F15" s="4">
        <v>142804.6396</v>
      </c>
      <c r="G15" s="4">
        <v>6336.2588</v>
      </c>
      <c r="H15" s="24"/>
      <c r="I15" s="24"/>
    </row>
    <row r="16" spans="1:9">
      <c r="A16" s="2">
        <v>43160</v>
      </c>
      <c r="B16" s="4">
        <v>313591.7849</v>
      </c>
      <c r="C16" s="4">
        <v>116335.2238</v>
      </c>
      <c r="D16" s="4">
        <v>93611.7223</v>
      </c>
      <c r="E16" s="4">
        <v>2094.0893</v>
      </c>
      <c r="F16" s="4">
        <v>95069.1115</v>
      </c>
      <c r="G16" s="4">
        <v>6481.638</v>
      </c>
      <c r="H16" s="24"/>
      <c r="I16" s="24"/>
    </row>
    <row r="17" spans="1:9">
      <c r="A17" s="2">
        <v>43191</v>
      </c>
      <c r="B17" s="4">
        <v>368370.714</v>
      </c>
      <c r="C17" s="4">
        <v>164216.244</v>
      </c>
      <c r="D17" s="4">
        <v>105582.1767</v>
      </c>
      <c r="E17" s="4">
        <v>2539.9678</v>
      </c>
      <c r="F17" s="4">
        <v>87566.8369</v>
      </c>
      <c r="G17" s="4">
        <v>8465.4886</v>
      </c>
      <c r="H17" s="24"/>
      <c r="I17" s="24"/>
    </row>
    <row r="18" spans="1:9">
      <c r="A18" s="2">
        <v>43221</v>
      </c>
      <c r="B18" s="4">
        <v>352359.1431</v>
      </c>
      <c r="C18" s="4">
        <v>148522.5128</v>
      </c>
      <c r="D18" s="4">
        <v>108071.5555</v>
      </c>
      <c r="E18" s="4">
        <v>2769.0016</v>
      </c>
      <c r="F18" s="4">
        <v>84817.912</v>
      </c>
      <c r="G18" s="4">
        <v>8178.1597</v>
      </c>
      <c r="H18" s="24"/>
      <c r="I18" s="24"/>
    </row>
    <row r="19" spans="1:9">
      <c r="A19" s="2">
        <v>43252</v>
      </c>
      <c r="B19" s="4">
        <v>391110.8341</v>
      </c>
      <c r="C19" s="4">
        <v>157508.1924</v>
      </c>
      <c r="D19" s="4">
        <v>127173.1546</v>
      </c>
      <c r="E19" s="4">
        <v>3401.9678</v>
      </c>
      <c r="F19" s="4">
        <v>95351.425</v>
      </c>
      <c r="G19" s="4">
        <v>7676.0958</v>
      </c>
      <c r="H19" s="24"/>
      <c r="I19" s="24"/>
    </row>
    <row r="20" spans="1:9">
      <c r="A20" s="2">
        <v>43282</v>
      </c>
      <c r="B20" s="4">
        <v>415250.8297</v>
      </c>
      <c r="C20" s="4">
        <v>160107.9129</v>
      </c>
      <c r="D20" s="4">
        <v>136179.7479</v>
      </c>
      <c r="E20" s="4">
        <v>2731.4463</v>
      </c>
      <c r="F20" s="4">
        <v>107431.36</v>
      </c>
      <c r="G20" s="4">
        <v>8800.3626</v>
      </c>
      <c r="H20" s="24"/>
      <c r="I20" s="24"/>
    </row>
    <row r="21" spans="1:9">
      <c r="A21" s="2">
        <v>43313</v>
      </c>
      <c r="B21" s="4">
        <v>491226.0479</v>
      </c>
      <c r="C21" s="4">
        <v>178212.6936</v>
      </c>
      <c r="D21" s="4">
        <v>161480.0078</v>
      </c>
      <c r="E21" s="4">
        <v>2993.1173</v>
      </c>
      <c r="F21" s="4">
        <v>140212.975</v>
      </c>
      <c r="G21" s="4">
        <v>8327.2542</v>
      </c>
      <c r="H21" s="24"/>
      <c r="I21" s="24"/>
    </row>
    <row r="22" spans="1:9">
      <c r="A22" s="2">
        <v>43344</v>
      </c>
      <c r="B22" s="4">
        <v>542766.7872</v>
      </c>
      <c r="C22" s="4">
        <v>187140</v>
      </c>
      <c r="D22" s="4">
        <v>171914.203</v>
      </c>
      <c r="E22" s="4">
        <v>3369.1652</v>
      </c>
      <c r="F22" s="4">
        <v>171370.9313</v>
      </c>
      <c r="G22" s="4">
        <v>8971.5478</v>
      </c>
      <c r="H22" s="24"/>
      <c r="I22" s="24"/>
    </row>
    <row r="23" spans="1:9">
      <c r="A23" s="2">
        <v>43374</v>
      </c>
      <c r="B23" s="4">
        <v>379747.4826</v>
      </c>
      <c r="C23" s="4">
        <v>167130</v>
      </c>
      <c r="D23" s="4">
        <v>114260</v>
      </c>
      <c r="E23" s="4">
        <v>2503.5078</v>
      </c>
      <c r="F23" s="4">
        <v>86659.6861</v>
      </c>
      <c r="G23" s="4">
        <v>9192.909</v>
      </c>
      <c r="H23" s="24"/>
      <c r="I23" s="24"/>
    </row>
    <row r="24" spans="1:9">
      <c r="A24" s="2">
        <v>43405</v>
      </c>
      <c r="B24" s="4">
        <v>391056.9518</v>
      </c>
      <c r="C24" s="4">
        <v>174785</v>
      </c>
      <c r="D24" s="4">
        <v>111636</v>
      </c>
      <c r="E24" s="4">
        <v>2303.17</v>
      </c>
      <c r="F24" s="4">
        <v>92632.3952</v>
      </c>
      <c r="G24" s="4">
        <v>9699.6292</v>
      </c>
      <c r="H24" s="24"/>
      <c r="I24" s="24"/>
    </row>
    <row r="25" spans="1:9">
      <c r="A25" s="2">
        <v>43435</v>
      </c>
      <c r="B25" s="4">
        <v>433464.972</v>
      </c>
      <c r="C25" s="4">
        <v>181974</v>
      </c>
      <c r="D25" s="4">
        <v>125916</v>
      </c>
      <c r="E25" s="4">
        <v>2257.0718</v>
      </c>
      <c r="F25" s="4">
        <v>114833.4038</v>
      </c>
      <c r="G25" s="4">
        <v>8483.4838</v>
      </c>
      <c r="H25" s="24"/>
      <c r="I25" s="24"/>
    </row>
    <row r="26" spans="1:9">
      <c r="A26" s="2">
        <v>43466</v>
      </c>
      <c r="B26" s="4">
        <v>519787.8358</v>
      </c>
      <c r="C26" s="4">
        <v>184395.801</v>
      </c>
      <c r="D26" s="4">
        <v>157640.6819</v>
      </c>
      <c r="E26" s="4">
        <v>2423.697</v>
      </c>
      <c r="F26" s="4">
        <v>168121.4821</v>
      </c>
      <c r="G26" s="4">
        <v>7206.1738</v>
      </c>
      <c r="H26" s="24"/>
      <c r="I26" s="24"/>
    </row>
    <row r="27" spans="1:9">
      <c r="A27" s="2">
        <v>43497</v>
      </c>
      <c r="B27" s="4">
        <v>410804.4941</v>
      </c>
      <c r="C27" s="4">
        <v>132944.3425</v>
      </c>
      <c r="D27" s="4">
        <v>133276.5533</v>
      </c>
      <c r="E27" s="4">
        <v>2350.1664</v>
      </c>
      <c r="F27" s="4">
        <v>140758.6371</v>
      </c>
      <c r="G27" s="4">
        <v>1474.7948</v>
      </c>
      <c r="H27" s="24"/>
      <c r="I27" s="24"/>
    </row>
    <row r="28" spans="1:9">
      <c r="A28" s="2">
        <v>43525</v>
      </c>
      <c r="B28" s="4">
        <v>393693.2773</v>
      </c>
      <c r="C28" s="4">
        <v>150401.2744</v>
      </c>
      <c r="D28" s="4">
        <v>117022.9232</v>
      </c>
      <c r="E28" s="4">
        <v>2115.1096</v>
      </c>
      <c r="F28" s="4">
        <v>118684.2135</v>
      </c>
      <c r="G28" s="4">
        <v>5469.7566</v>
      </c>
      <c r="H28" s="24"/>
      <c r="I28" s="24"/>
    </row>
    <row r="29" spans="1:9">
      <c r="A29" s="2">
        <v>43556</v>
      </c>
      <c r="B29" s="4">
        <v>418264.0954</v>
      </c>
      <c r="C29" s="4">
        <v>183705.5032</v>
      </c>
      <c r="D29" s="4">
        <v>120528.9809</v>
      </c>
      <c r="E29" s="4">
        <v>2434.4914</v>
      </c>
      <c r="F29" s="4">
        <v>102635.5109</v>
      </c>
      <c r="G29" s="4">
        <v>8959.609</v>
      </c>
      <c r="H29" s="24"/>
      <c r="I29" s="24"/>
    </row>
    <row r="30" spans="1:9">
      <c r="A30" s="2">
        <v>43586</v>
      </c>
      <c r="B30" s="4">
        <v>404399.1076</v>
      </c>
      <c r="C30" s="4">
        <v>179088.8514</v>
      </c>
      <c r="D30" s="4">
        <v>119989.7071</v>
      </c>
      <c r="E30" s="4">
        <v>2780.1491</v>
      </c>
      <c r="F30" s="4">
        <v>92490.3412</v>
      </c>
      <c r="G30" s="4">
        <v>10050.0588</v>
      </c>
      <c r="H30" s="24"/>
      <c r="I30" s="24"/>
    </row>
    <row r="31" spans="1:9">
      <c r="A31" s="2">
        <v>43617</v>
      </c>
      <c r="B31" s="4">
        <v>435232.6122</v>
      </c>
      <c r="C31" s="4">
        <v>189989.8727</v>
      </c>
      <c r="D31" s="4">
        <v>132641.7748</v>
      </c>
      <c r="E31" s="4">
        <v>3367.2023</v>
      </c>
      <c r="F31" s="4">
        <v>99321.7586</v>
      </c>
      <c r="G31" s="4">
        <v>9912.0038</v>
      </c>
      <c r="H31" s="24"/>
      <c r="I31" s="24"/>
    </row>
    <row r="32" spans="1:9">
      <c r="A32" s="2">
        <v>43647</v>
      </c>
      <c r="B32" s="4">
        <v>457226.259</v>
      </c>
      <c r="C32" s="4">
        <v>186567.0797</v>
      </c>
      <c r="D32" s="4">
        <v>147969.3172</v>
      </c>
      <c r="E32" s="4">
        <v>2944.6166</v>
      </c>
      <c r="F32" s="4">
        <v>111074.1537</v>
      </c>
      <c r="G32" s="4">
        <v>8671.0918</v>
      </c>
      <c r="H32" s="24"/>
      <c r="I32" s="24"/>
    </row>
    <row r="33" spans="1:9">
      <c r="A33" s="2">
        <v>43678</v>
      </c>
      <c r="B33" s="4">
        <v>508055.3217</v>
      </c>
      <c r="C33" s="4">
        <v>197800.161</v>
      </c>
      <c r="D33" s="4">
        <v>168478.4368</v>
      </c>
      <c r="E33" s="4">
        <v>2914.1142</v>
      </c>
      <c r="F33" s="4">
        <v>130900.7949</v>
      </c>
      <c r="G33" s="4">
        <v>7961.8148</v>
      </c>
      <c r="H33" s="24"/>
      <c r="I33" s="24"/>
    </row>
    <row r="34" spans="1:9">
      <c r="A34" s="2">
        <v>43709</v>
      </c>
      <c r="B34" s="4">
        <v>540122.4776</v>
      </c>
      <c r="C34" s="4">
        <v>192547.0012</v>
      </c>
      <c r="D34" s="4">
        <v>174323.0291</v>
      </c>
      <c r="E34" s="4">
        <v>3187.4747</v>
      </c>
      <c r="F34" s="4">
        <v>162926.1146</v>
      </c>
      <c r="G34" s="4">
        <v>7138.858</v>
      </c>
      <c r="H34" s="24"/>
      <c r="I34" s="24"/>
    </row>
    <row r="35" spans="1:9">
      <c r="A35" s="2">
        <v>43739</v>
      </c>
      <c r="B35" s="4">
        <v>404886.5747</v>
      </c>
      <c r="C35" s="4">
        <v>176900.1587</v>
      </c>
      <c r="D35" s="4">
        <v>124516.4649</v>
      </c>
      <c r="E35" s="4">
        <v>2647.4311</v>
      </c>
      <c r="F35" s="4">
        <v>91996.4524</v>
      </c>
      <c r="G35" s="4">
        <v>8826.0676</v>
      </c>
      <c r="H35" s="24"/>
      <c r="I35" s="24"/>
    </row>
    <row r="36" spans="1:9">
      <c r="A36" s="2">
        <v>43770</v>
      </c>
      <c r="B36" s="4">
        <v>422184.7019</v>
      </c>
      <c r="C36" s="4">
        <v>191040.8231</v>
      </c>
      <c r="D36" s="4">
        <v>124725.4017</v>
      </c>
      <c r="E36" s="4">
        <v>2395.1589</v>
      </c>
      <c r="F36" s="4">
        <v>96343.9988</v>
      </c>
      <c r="G36" s="4">
        <v>7679.3194</v>
      </c>
      <c r="H36" s="24"/>
      <c r="I36" s="24"/>
    </row>
    <row r="37" spans="1:9">
      <c r="A37" s="2">
        <v>43800</v>
      </c>
      <c r="B37" s="4">
        <v>467684.7044</v>
      </c>
      <c r="C37" s="4">
        <v>194961.5734</v>
      </c>
      <c r="D37" s="4">
        <v>140230.1555</v>
      </c>
      <c r="E37" s="4">
        <v>2075.4948</v>
      </c>
      <c r="F37" s="4">
        <v>119665.8968</v>
      </c>
      <c r="G37" s="4">
        <v>10751.5839</v>
      </c>
      <c r="H37" s="24"/>
      <c r="I37" s="24"/>
    </row>
    <row r="38" spans="1:9">
      <c r="A38" s="2">
        <v>43831</v>
      </c>
      <c r="B38" s="4">
        <v>493834.5456</v>
      </c>
      <c r="C38" s="4">
        <v>184333.4052</v>
      </c>
      <c r="D38" s="4">
        <v>155437.2712</v>
      </c>
      <c r="E38" s="4">
        <v>2132.5406</v>
      </c>
      <c r="F38" s="4">
        <v>146087.1537</v>
      </c>
      <c r="G38" s="4">
        <v>5844.1749</v>
      </c>
      <c r="H38" s="24"/>
      <c r="I38" s="24"/>
    </row>
    <row r="39" spans="1:9">
      <c r="A39" s="2">
        <v>43862</v>
      </c>
      <c r="B39" s="4">
        <v>355968.3344</v>
      </c>
      <c r="C39" s="4">
        <v>102082.0045</v>
      </c>
      <c r="D39" s="4">
        <v>108540.7959</v>
      </c>
      <c r="E39" s="4">
        <v>1980.324</v>
      </c>
      <c r="F39" s="4">
        <v>142001.2748</v>
      </c>
      <c r="G39" s="4">
        <v>1363.9352</v>
      </c>
      <c r="H39" s="24"/>
      <c r="I39" s="24"/>
    </row>
    <row r="40" spans="1:9">
      <c r="A40" s="2">
        <v>43891</v>
      </c>
      <c r="B40" s="4">
        <v>318184.3906</v>
      </c>
      <c r="C40" s="4">
        <v>127290.6116</v>
      </c>
      <c r="D40" s="4">
        <v>76999.3498</v>
      </c>
      <c r="E40" s="4">
        <v>2023.5224</v>
      </c>
      <c r="F40" s="4">
        <v>109861.9141</v>
      </c>
      <c r="G40" s="4">
        <v>2008.9927</v>
      </c>
      <c r="H40" s="24"/>
      <c r="I40" s="24"/>
    </row>
    <row r="41" spans="1:9">
      <c r="A41" s="2">
        <v>43922</v>
      </c>
      <c r="B41" s="4">
        <v>408066.5248</v>
      </c>
      <c r="C41" s="4">
        <v>186757.9592</v>
      </c>
      <c r="D41" s="4">
        <v>108829.0885</v>
      </c>
      <c r="E41" s="4">
        <v>2601.9644</v>
      </c>
      <c r="F41" s="4">
        <v>99586.0168</v>
      </c>
      <c r="G41" s="4">
        <v>10291.4959</v>
      </c>
      <c r="H41" s="24"/>
      <c r="I41" s="24"/>
    </row>
    <row r="42" spans="1:9">
      <c r="A42" s="2">
        <v>43952</v>
      </c>
      <c r="B42" s="4">
        <v>416851.4033</v>
      </c>
      <c r="C42" s="4">
        <v>188978.6577</v>
      </c>
      <c r="D42" s="4">
        <v>118382.5547</v>
      </c>
      <c r="E42" s="4">
        <v>3084.9693</v>
      </c>
      <c r="F42" s="4">
        <v>97281.7184</v>
      </c>
      <c r="G42" s="4">
        <v>9123.5032</v>
      </c>
      <c r="H42" s="24"/>
      <c r="I42" s="24"/>
    </row>
    <row r="43" spans="1:9">
      <c r="A43" s="2">
        <v>43983</v>
      </c>
      <c r="B43" s="4">
        <v>487145.9006</v>
      </c>
      <c r="C43" s="4">
        <v>211977.5209</v>
      </c>
      <c r="D43" s="4">
        <v>148794.2598</v>
      </c>
      <c r="E43" s="4">
        <v>4318.7649</v>
      </c>
      <c r="F43" s="4">
        <v>112823.0084</v>
      </c>
      <c r="G43" s="4">
        <v>9232.3466</v>
      </c>
      <c r="H43" s="24"/>
      <c r="I43" s="24"/>
    </row>
    <row r="44" spans="1:9">
      <c r="A44" s="2">
        <v>44013</v>
      </c>
      <c r="B44" s="4">
        <v>525475.7715</v>
      </c>
      <c r="C44" s="4">
        <v>205694.0382</v>
      </c>
      <c r="D44" s="4">
        <v>168112.1965</v>
      </c>
      <c r="E44" s="4">
        <v>3458.6954</v>
      </c>
      <c r="F44" s="4">
        <v>139968.0919</v>
      </c>
      <c r="G44" s="4">
        <v>8242.7495</v>
      </c>
      <c r="H44" s="24"/>
      <c r="I44" s="24"/>
    </row>
    <row r="45" spans="1:9">
      <c r="A45" s="2">
        <v>44044</v>
      </c>
      <c r="B45" s="4">
        <v>566356.2228</v>
      </c>
      <c r="C45" s="4">
        <v>217890.0778</v>
      </c>
      <c r="D45" s="4">
        <v>183586.0554</v>
      </c>
      <c r="E45" s="4">
        <v>3395.5772</v>
      </c>
      <c r="F45" s="4">
        <v>151937.5948</v>
      </c>
      <c r="G45" s="4">
        <v>9546.9176</v>
      </c>
      <c r="H45" s="24"/>
      <c r="I45" s="24"/>
    </row>
    <row r="46" spans="1:9">
      <c r="A46" s="2">
        <v>44075</v>
      </c>
      <c r="B46" s="4">
        <v>593551.9251</v>
      </c>
      <c r="C46" s="4">
        <v>218830.8334</v>
      </c>
      <c r="D46" s="4">
        <v>184192.0603</v>
      </c>
      <c r="E46" s="4">
        <v>4105.004</v>
      </c>
      <c r="F46" s="4">
        <v>178974.1655</v>
      </c>
      <c r="G46" s="4">
        <v>7449.8619</v>
      </c>
      <c r="H46" s="24"/>
      <c r="I46" s="24"/>
    </row>
    <row r="47" spans="1:9">
      <c r="A47" s="2">
        <v>44105</v>
      </c>
      <c r="B47" s="4">
        <v>453441.1085</v>
      </c>
      <c r="C47" s="4">
        <v>204268.9747</v>
      </c>
      <c r="D47" s="4">
        <v>136564.2783</v>
      </c>
      <c r="E47" s="4">
        <v>2889.3067</v>
      </c>
      <c r="F47" s="4">
        <v>99106.1586</v>
      </c>
      <c r="G47" s="4">
        <v>10612.3902</v>
      </c>
      <c r="H47" s="24"/>
      <c r="I47" s="24"/>
    </row>
    <row r="48" spans="1:9">
      <c r="A48" s="2">
        <v>44136</v>
      </c>
      <c r="B48" s="4">
        <v>477188.7007</v>
      </c>
      <c r="C48" s="4">
        <v>220637.1102</v>
      </c>
      <c r="D48" s="4">
        <v>135485.4015</v>
      </c>
      <c r="E48" s="4">
        <v>2775.3732</v>
      </c>
      <c r="F48" s="4">
        <v>108829.8374</v>
      </c>
      <c r="G48" s="4">
        <v>9460.9784</v>
      </c>
      <c r="H48" s="24"/>
      <c r="I48" s="24"/>
    </row>
    <row r="49" spans="1:9">
      <c r="A49" s="2">
        <v>44166</v>
      </c>
      <c r="B49" s="4">
        <v>547192.3688</v>
      </c>
      <c r="C49" s="4">
        <v>216093.6481</v>
      </c>
      <c r="D49" s="4">
        <v>153197.9812</v>
      </c>
      <c r="E49" s="4">
        <v>2703.5882</v>
      </c>
      <c r="F49" s="4">
        <v>164036.4648</v>
      </c>
      <c r="G49" s="4">
        <v>11160.6865</v>
      </c>
      <c r="H49" s="24"/>
      <c r="I49" s="24"/>
    </row>
    <row r="50" spans="1:9">
      <c r="A50" s="2">
        <v>44197</v>
      </c>
      <c r="B50" s="5">
        <v>619579.1104</v>
      </c>
      <c r="C50" s="5">
        <v>227996.8859</v>
      </c>
      <c r="D50" s="5">
        <v>182441.0209</v>
      </c>
      <c r="E50" s="5">
        <v>2915.5214</v>
      </c>
      <c r="F50" s="5">
        <v>195037.049</v>
      </c>
      <c r="G50" s="5">
        <v>11188.6332</v>
      </c>
      <c r="H50" s="24"/>
      <c r="I50" s="24"/>
    </row>
    <row r="51" spans="1:9">
      <c r="A51" s="2">
        <v>44228</v>
      </c>
      <c r="B51" s="5">
        <v>489699.4041</v>
      </c>
      <c r="C51" s="5">
        <v>192511.8947</v>
      </c>
      <c r="D51" s="5">
        <v>159709.6938</v>
      </c>
      <c r="E51" s="5">
        <v>2839.4238</v>
      </c>
      <c r="F51" s="5">
        <v>129913.6686</v>
      </c>
      <c r="G51" s="5">
        <v>4724.7232</v>
      </c>
      <c r="H51" s="24"/>
      <c r="I51" s="24"/>
    </row>
    <row r="52" spans="1:9">
      <c r="A52" s="2">
        <v>44256</v>
      </c>
      <c r="B52" s="5">
        <v>394902.8222</v>
      </c>
      <c r="C52" s="5">
        <v>170107.8069</v>
      </c>
      <c r="D52" s="5">
        <v>113438.6893</v>
      </c>
      <c r="E52" s="5">
        <v>2852.4524</v>
      </c>
      <c r="F52" s="5">
        <v>98703.759</v>
      </c>
      <c r="G52" s="5">
        <v>9800.1146</v>
      </c>
      <c r="H52" s="24"/>
      <c r="I52" s="24"/>
    </row>
    <row r="53" spans="1:9">
      <c r="A53" s="2">
        <v>44287</v>
      </c>
      <c r="B53" s="5">
        <v>487751.1996</v>
      </c>
      <c r="C53" s="5">
        <v>226200.3673</v>
      </c>
      <c r="D53" s="5">
        <v>139776.7005</v>
      </c>
      <c r="E53" s="5">
        <v>3543.0442</v>
      </c>
      <c r="F53" s="5">
        <v>106812.2298</v>
      </c>
      <c r="G53" s="5">
        <v>11418.8578</v>
      </c>
      <c r="H53" s="24"/>
      <c r="I53" s="24"/>
    </row>
    <row r="54" spans="1:9">
      <c r="A54" s="2">
        <v>44317</v>
      </c>
      <c r="B54" s="5">
        <v>468588.4704</v>
      </c>
      <c r="C54" s="5">
        <v>213379.5378</v>
      </c>
      <c r="D54" s="5">
        <v>136259.1082</v>
      </c>
      <c r="E54" s="5">
        <v>4145.7091</v>
      </c>
      <c r="F54" s="5">
        <v>101803.8532</v>
      </c>
      <c r="G54" s="5">
        <v>13000.2621</v>
      </c>
      <c r="H54" s="24"/>
      <c r="I54" s="24"/>
    </row>
    <row r="55" spans="1:9">
      <c r="A55" s="2">
        <v>44348</v>
      </c>
      <c r="B55" s="5">
        <v>531857.2657</v>
      </c>
      <c r="C55" s="5">
        <v>235212.9082</v>
      </c>
      <c r="D55" s="5">
        <v>163007.8103</v>
      </c>
      <c r="E55" s="5">
        <v>4640.01</v>
      </c>
      <c r="F55" s="5">
        <v>117451.9584</v>
      </c>
      <c r="G55" s="5">
        <v>11544.5788</v>
      </c>
      <c r="H55" s="24"/>
      <c r="I55" s="24"/>
    </row>
    <row r="56" spans="1:9">
      <c r="A56" s="2">
        <v>44378</v>
      </c>
      <c r="B56" s="5">
        <v>705844.5093</v>
      </c>
      <c r="C56" s="5">
        <v>262163.4384</v>
      </c>
      <c r="D56" s="5">
        <v>244475.673</v>
      </c>
      <c r="E56" s="5">
        <v>4611.4189</v>
      </c>
      <c r="F56" s="5">
        <v>184976.639</v>
      </c>
      <c r="G56" s="5">
        <v>9617.34</v>
      </c>
      <c r="H56" s="24"/>
      <c r="I56" s="24"/>
    </row>
    <row r="57" spans="1:9">
      <c r="A57" s="2">
        <v>44409</v>
      </c>
      <c r="B57" s="5">
        <v>759855.6905</v>
      </c>
      <c r="C57" s="5">
        <v>299506.2222</v>
      </c>
      <c r="D57" s="5">
        <v>238739.4985</v>
      </c>
      <c r="E57" s="5">
        <v>5850.0922</v>
      </c>
      <c r="F57" s="5">
        <v>204915.8376</v>
      </c>
      <c r="G57" s="5">
        <v>10844.04</v>
      </c>
      <c r="H57" s="24"/>
      <c r="I57" s="24"/>
    </row>
    <row r="58" spans="1:9">
      <c r="A58" s="2">
        <v>44440</v>
      </c>
      <c r="B58" s="5">
        <v>554695.1775</v>
      </c>
      <c r="C58" s="5">
        <v>239933.8043</v>
      </c>
      <c r="D58" s="5">
        <v>180133.6287</v>
      </c>
      <c r="E58" s="5">
        <v>4428.9433</v>
      </c>
      <c r="F58" s="5">
        <v>119664.0522</v>
      </c>
      <c r="G58" s="5">
        <v>10534.749</v>
      </c>
      <c r="H58" s="24"/>
      <c r="I58" s="24"/>
    </row>
    <row r="59" spans="1:9">
      <c r="A59" s="2">
        <v>44470</v>
      </c>
      <c r="B59" s="5">
        <v>545288.681</v>
      </c>
      <c r="C59" s="5">
        <v>233171.793</v>
      </c>
      <c r="D59" s="5">
        <v>173629.9722</v>
      </c>
      <c r="E59" s="5">
        <v>3726.039</v>
      </c>
      <c r="F59" s="5">
        <v>123516.5208</v>
      </c>
      <c r="G59" s="5">
        <v>11244.356</v>
      </c>
      <c r="H59" s="24"/>
      <c r="I59" s="24"/>
    </row>
    <row r="60" spans="1:9">
      <c r="A60" s="2">
        <v>44501</v>
      </c>
      <c r="B60" s="5">
        <v>538568.6715</v>
      </c>
      <c r="C60" s="5">
        <v>237898.8204</v>
      </c>
      <c r="D60" s="5">
        <v>154595.7216</v>
      </c>
      <c r="E60" s="5">
        <v>3427.3101</v>
      </c>
      <c r="F60" s="5">
        <v>133366.3224</v>
      </c>
      <c r="G60" s="5">
        <v>9280.497</v>
      </c>
      <c r="H60" s="24"/>
      <c r="I60" s="24"/>
    </row>
    <row r="61" spans="1:9">
      <c r="A61" s="2">
        <v>44531</v>
      </c>
      <c r="B61" s="5">
        <v>561985.3615</v>
      </c>
      <c r="C61" s="5">
        <v>233025.9788</v>
      </c>
      <c r="D61" s="5">
        <v>169183.2369</v>
      </c>
      <c r="E61" s="5">
        <v>3282.5224</v>
      </c>
      <c r="F61" s="5">
        <v>148308.2444</v>
      </c>
      <c r="G61" s="5">
        <v>8185.379</v>
      </c>
      <c r="H61" s="24"/>
      <c r="I61" s="24"/>
    </row>
    <row r="62" spans="1:9">
      <c r="A62" s="2">
        <v>44562</v>
      </c>
      <c r="B62" s="5">
        <v>598230.8229</v>
      </c>
      <c r="C62" s="5">
        <v>222328.5974</v>
      </c>
      <c r="D62" s="5">
        <v>186823.5382</v>
      </c>
      <c r="E62" s="5">
        <v>3406.0964</v>
      </c>
      <c r="F62" s="5">
        <v>179399.7679</v>
      </c>
      <c r="G62" s="5">
        <v>6272.823</v>
      </c>
      <c r="H62" s="24"/>
      <c r="I62" s="24"/>
    </row>
    <row r="63" spans="1:9">
      <c r="A63" s="2">
        <v>44593</v>
      </c>
      <c r="B63" s="5">
        <v>532824.1689</v>
      </c>
      <c r="C63" s="5">
        <v>184962.6935</v>
      </c>
      <c r="D63" s="5">
        <v>162078.0354</v>
      </c>
      <c r="E63" s="5">
        <v>3182.684</v>
      </c>
      <c r="F63" s="5">
        <v>178113.694</v>
      </c>
      <c r="G63" s="5">
        <v>4487.062</v>
      </c>
      <c r="H63" s="24"/>
      <c r="I63" s="24"/>
    </row>
    <row r="64" spans="1:9">
      <c r="A64" s="2">
        <v>44621</v>
      </c>
      <c r="B64" s="5">
        <v>487617.5569</v>
      </c>
      <c r="C64" s="5">
        <v>224206.291</v>
      </c>
      <c r="D64" s="5">
        <v>138801.7777</v>
      </c>
      <c r="E64" s="5">
        <v>3365.9127</v>
      </c>
      <c r="F64" s="5">
        <v>108940.0075</v>
      </c>
      <c r="G64" s="5">
        <v>12303.568</v>
      </c>
      <c r="H64" s="24"/>
      <c r="I64" s="24"/>
    </row>
    <row r="65" spans="1:9">
      <c r="A65" s="2">
        <v>44652</v>
      </c>
      <c r="B65" s="5">
        <v>515491.7382</v>
      </c>
      <c r="C65" s="5">
        <v>243013.3225</v>
      </c>
      <c r="D65" s="5">
        <v>144931.5035</v>
      </c>
      <c r="E65" s="5">
        <v>3717.4927</v>
      </c>
      <c r="F65" s="5">
        <v>113956.3095</v>
      </c>
      <c r="G65" s="5">
        <v>9873.11</v>
      </c>
      <c r="H65" s="24"/>
      <c r="I65" s="24"/>
    </row>
    <row r="66" spans="1:9">
      <c r="A66" s="2">
        <v>44682</v>
      </c>
      <c r="B66" s="5">
        <v>512475.2769</v>
      </c>
      <c r="C66" s="5">
        <v>237041.5967</v>
      </c>
      <c r="D66" s="5">
        <v>151327.815</v>
      </c>
      <c r="E66" s="5">
        <v>4126.4957</v>
      </c>
      <c r="F66" s="5">
        <v>110332.9935</v>
      </c>
      <c r="G66" s="5">
        <v>9646.376</v>
      </c>
      <c r="H66" s="24"/>
      <c r="I66" s="24"/>
    </row>
    <row r="67" spans="1:9">
      <c r="A67" s="2">
        <v>44713</v>
      </c>
      <c r="B67" s="5">
        <v>597291.2988</v>
      </c>
      <c r="C67" s="5">
        <v>251718.6735</v>
      </c>
      <c r="D67" s="5">
        <v>190239.0629</v>
      </c>
      <c r="E67" s="5">
        <v>4827.1462</v>
      </c>
      <c r="F67" s="5">
        <v>144900.5962</v>
      </c>
      <c r="G67" s="5">
        <v>5605.82</v>
      </c>
      <c r="H67" s="24"/>
      <c r="I67" s="24"/>
    </row>
    <row r="68" spans="1:9">
      <c r="A68" s="2">
        <v>44743</v>
      </c>
      <c r="B68" s="5">
        <v>718783.7048</v>
      </c>
      <c r="C68" s="5">
        <v>236025.1849</v>
      </c>
      <c r="D68" s="5">
        <v>227520.3615</v>
      </c>
      <c r="E68" s="5">
        <v>5617.3658</v>
      </c>
      <c r="F68" s="5">
        <v>241135.3256</v>
      </c>
      <c r="G68" s="5">
        <v>8485.467</v>
      </c>
      <c r="H68" s="24"/>
      <c r="I68" s="24"/>
    </row>
    <row r="69" spans="1:9">
      <c r="A69" s="2">
        <v>44774</v>
      </c>
      <c r="B69" s="5">
        <v>793441.6864</v>
      </c>
      <c r="C69" s="5">
        <v>198824.5938</v>
      </c>
      <c r="D69" s="5">
        <v>240238.4603</v>
      </c>
      <c r="E69" s="5">
        <v>6579.737</v>
      </c>
      <c r="F69" s="5">
        <v>340475.2573</v>
      </c>
      <c r="G69" s="5">
        <v>7323.638</v>
      </c>
      <c r="H69" s="24"/>
      <c r="I69" s="24"/>
    </row>
    <row r="70" spans="1:9">
      <c r="A70" s="2">
        <v>44805</v>
      </c>
      <c r="B70" s="5">
        <v>502175.7082</v>
      </c>
      <c r="C70" s="5">
        <v>229236.874</v>
      </c>
      <c r="D70" s="5">
        <v>132644.0048</v>
      </c>
      <c r="E70" s="5">
        <v>4662.7759</v>
      </c>
      <c r="F70" s="5">
        <v>128441.6835</v>
      </c>
      <c r="G70" s="5">
        <v>7190.37</v>
      </c>
      <c r="H70" s="24"/>
      <c r="I70" s="24"/>
    </row>
    <row r="71" spans="1:9">
      <c r="A71" s="2">
        <v>44835</v>
      </c>
      <c r="B71" s="5">
        <v>500234.5954</v>
      </c>
      <c r="C71" s="5">
        <v>240093.636</v>
      </c>
      <c r="D71" s="5">
        <v>140428.5995</v>
      </c>
      <c r="E71" s="5">
        <v>4071.131</v>
      </c>
      <c r="F71" s="5">
        <v>108381.2899</v>
      </c>
      <c r="G71" s="5">
        <v>7259.939</v>
      </c>
      <c r="H71" s="24"/>
      <c r="I71" s="24"/>
    </row>
    <row r="72" spans="1:9">
      <c r="A72" s="2">
        <v>44866</v>
      </c>
      <c r="B72" s="5">
        <v>533361.3416</v>
      </c>
      <c r="C72" s="5">
        <v>253867.752</v>
      </c>
      <c r="D72" s="5">
        <v>147234.7345</v>
      </c>
      <c r="E72" s="5">
        <v>3877.7326</v>
      </c>
      <c r="F72" s="5">
        <v>118959.9275</v>
      </c>
      <c r="G72" s="5">
        <v>9421.195</v>
      </c>
      <c r="H72" s="24"/>
      <c r="I72" s="24"/>
    </row>
    <row r="73" spans="1:9">
      <c r="A73" s="2">
        <v>44896</v>
      </c>
      <c r="B73" s="5">
        <v>589699.3622</v>
      </c>
      <c r="C73" s="5">
        <v>237706.8863</v>
      </c>
      <c r="D73" s="5">
        <v>165782.6906</v>
      </c>
      <c r="E73" s="5">
        <v>3671.983</v>
      </c>
      <c r="F73" s="5">
        <v>174616.3523</v>
      </c>
      <c r="G73" s="5">
        <v>7921.45</v>
      </c>
      <c r="H73" s="24"/>
      <c r="I73" s="24"/>
    </row>
    <row r="74" spans="1:9">
      <c r="A74" s="2">
        <v>44927</v>
      </c>
      <c r="B74" s="5">
        <v>559559.8364</v>
      </c>
      <c r="C74" s="5">
        <v>204096.539</v>
      </c>
      <c r="D74" s="5">
        <v>167011.7644</v>
      </c>
      <c r="E74" s="5">
        <v>3662.2285</v>
      </c>
      <c r="F74" s="5">
        <v>181522.1675</v>
      </c>
      <c r="G74" s="5">
        <v>3267.137</v>
      </c>
      <c r="H74" s="24"/>
      <c r="I74" s="24"/>
    </row>
    <row r="75" spans="1:9">
      <c r="A75" s="2">
        <v>44958</v>
      </c>
      <c r="B75" s="5">
        <v>571295.5646</v>
      </c>
      <c r="C75" s="5">
        <v>233029.4992</v>
      </c>
      <c r="D75" s="5">
        <v>169493.8056</v>
      </c>
      <c r="E75" s="5">
        <v>3902.476</v>
      </c>
      <c r="F75" s="5">
        <v>157757.9358</v>
      </c>
      <c r="G75" s="5">
        <v>7111.848</v>
      </c>
      <c r="H75" s="24"/>
      <c r="I75" s="24"/>
    </row>
    <row r="76" spans="1:9">
      <c r="A76" s="2">
        <v>44986</v>
      </c>
      <c r="B76" s="5">
        <v>513888.576</v>
      </c>
      <c r="C76" s="5">
        <v>241712.1144</v>
      </c>
      <c r="D76" s="5">
        <v>141422.8397</v>
      </c>
      <c r="E76" s="5">
        <v>3945.4609</v>
      </c>
      <c r="F76" s="5">
        <v>114211.738</v>
      </c>
      <c r="G76" s="5">
        <v>12596.423</v>
      </c>
      <c r="H76" s="24"/>
      <c r="I76" s="24"/>
    </row>
    <row r="77" spans="1:9">
      <c r="A77" s="2">
        <v>45017</v>
      </c>
      <c r="B77" s="5">
        <v>558422.9987</v>
      </c>
      <c r="C77" s="5">
        <v>261075.1203</v>
      </c>
      <c r="D77" s="5">
        <v>159895.1299</v>
      </c>
      <c r="E77" s="5">
        <v>4715.8801</v>
      </c>
      <c r="F77" s="5">
        <v>121359.0924</v>
      </c>
      <c r="G77" s="5">
        <v>11377.776</v>
      </c>
      <c r="H77" s="24"/>
      <c r="I77" s="24"/>
    </row>
    <row r="78" spans="1:9">
      <c r="A78" s="2">
        <v>45047</v>
      </c>
      <c r="B78" s="5">
        <v>566222.1562</v>
      </c>
      <c r="C78" s="5">
        <v>269580.4357</v>
      </c>
      <c r="D78" s="5">
        <v>166978.8075</v>
      </c>
      <c r="E78" s="5">
        <v>5840.2325</v>
      </c>
      <c r="F78" s="5">
        <v>113207.0171</v>
      </c>
      <c r="G78" s="5">
        <v>10615.6634</v>
      </c>
      <c r="H78" s="24"/>
      <c r="I78" s="24"/>
    </row>
    <row r="79" spans="1:9">
      <c r="A79" s="2">
        <v>45078</v>
      </c>
      <c r="B79" s="5">
        <v>630308.2465</v>
      </c>
      <c r="C79" s="5">
        <v>265343.6494</v>
      </c>
      <c r="D79" s="5">
        <v>195642.5736</v>
      </c>
      <c r="E79" s="5">
        <v>6312.9692</v>
      </c>
      <c r="F79" s="5">
        <v>155969.7893</v>
      </c>
      <c r="G79" s="5">
        <v>7039.265</v>
      </c>
      <c r="H79" s="24"/>
      <c r="I79" s="24"/>
    </row>
    <row r="80" spans="1:9">
      <c r="A80" s="2">
        <v>45108</v>
      </c>
      <c r="B80" s="5">
        <v>773889.6976</v>
      </c>
      <c r="C80" s="5">
        <v>275166.1167</v>
      </c>
      <c r="D80" s="5">
        <v>243970.3589</v>
      </c>
      <c r="E80" s="5">
        <v>6497.4381</v>
      </c>
      <c r="F80" s="5">
        <v>239788.9029</v>
      </c>
      <c r="G80" s="5">
        <v>8466.881</v>
      </c>
      <c r="H80" s="24"/>
      <c r="I80" s="24"/>
    </row>
    <row r="81" spans="1:9">
      <c r="A81" s="2">
        <v>45139</v>
      </c>
      <c r="B81" s="5">
        <v>752436.6104</v>
      </c>
      <c r="C81" s="5">
        <v>281367.6133</v>
      </c>
      <c r="D81" s="5">
        <v>238951.8893</v>
      </c>
      <c r="E81" s="5">
        <v>5894.8311</v>
      </c>
      <c r="F81" s="5">
        <v>218468.4667</v>
      </c>
      <c r="G81" s="5">
        <v>7753.81</v>
      </c>
      <c r="H81" s="24"/>
      <c r="I81" s="24"/>
    </row>
    <row r="82" spans="1:9">
      <c r="A82" s="2">
        <v>45170</v>
      </c>
      <c r="B82" s="5">
        <v>630449.3183</v>
      </c>
      <c r="C82" s="5">
        <v>272354.9556</v>
      </c>
      <c r="D82" s="5">
        <v>194646.9966</v>
      </c>
      <c r="E82" s="5">
        <v>5302.4727</v>
      </c>
      <c r="F82" s="5">
        <v>149916.6824</v>
      </c>
      <c r="G82" s="5">
        <v>8228.211</v>
      </c>
      <c r="H82" s="24"/>
      <c r="I82" s="24"/>
    </row>
    <row r="83" spans="1:9">
      <c r="A83" s="2">
        <v>45200</v>
      </c>
      <c r="B83" s="5">
        <v>543823.8016</v>
      </c>
      <c r="C83" s="5">
        <v>253800.8258</v>
      </c>
      <c r="D83" s="5">
        <v>157572.2132</v>
      </c>
      <c r="E83" s="5">
        <v>4576.7696</v>
      </c>
      <c r="F83" s="5">
        <v>119715.769</v>
      </c>
      <c r="G83" s="5">
        <v>8158.224</v>
      </c>
      <c r="H83" s="24"/>
      <c r="I83" s="24"/>
    </row>
    <row r="84" spans="1:9">
      <c r="A84" s="2">
        <v>45231</v>
      </c>
      <c r="B84" s="5">
        <v>567647.3153</v>
      </c>
      <c r="C84" s="5">
        <v>265840.978</v>
      </c>
      <c r="D84" s="5">
        <v>160825.186</v>
      </c>
      <c r="E84" s="5">
        <v>4069.1681</v>
      </c>
      <c r="F84" s="5">
        <v>129783.7592</v>
      </c>
      <c r="G84" s="5">
        <v>7128.224</v>
      </c>
      <c r="H84" s="24"/>
      <c r="I84" s="24"/>
    </row>
    <row r="85" spans="1:9">
      <c r="A85" s="2">
        <v>45261</v>
      </c>
      <c r="B85" s="5">
        <v>660201.433</v>
      </c>
      <c r="C85" s="5">
        <v>273502.6755</v>
      </c>
      <c r="D85" s="5">
        <v>191091.89</v>
      </c>
      <c r="E85" s="5">
        <v>4184.9725</v>
      </c>
      <c r="F85" s="5">
        <v>181685.983</v>
      </c>
      <c r="G85" s="5">
        <v>9735.912</v>
      </c>
      <c r="H85" s="24"/>
      <c r="I85" s="24"/>
    </row>
    <row r="86" spans="1:6">
      <c r="A86" s="3" t="s">
        <v>7</v>
      </c>
      <c r="C86" s="5">
        <v>274707.3389</v>
      </c>
      <c r="D86" s="5">
        <v>200678.3641</v>
      </c>
      <c r="E86" s="5">
        <v>4251.1814</v>
      </c>
      <c r="F86" s="5">
        <v>192797.2548</v>
      </c>
    </row>
    <row r="87" spans="1:6">
      <c r="A87" s="3" t="s">
        <v>8</v>
      </c>
      <c r="C87" s="5">
        <v>182262.2541</v>
      </c>
      <c r="D87" s="5">
        <v>152027.6848</v>
      </c>
      <c r="E87" s="5">
        <v>3779.2959</v>
      </c>
      <c r="F87" s="5">
        <v>157446.7629</v>
      </c>
    </row>
    <row r="88" spans="1:6">
      <c r="A88" s="3" t="s">
        <v>9</v>
      </c>
      <c r="C88" s="5">
        <v>274899.1143</v>
      </c>
      <c r="D88" s="5">
        <v>170586.4219</v>
      </c>
      <c r="E88" s="5">
        <v>4656.8693</v>
      </c>
      <c r="F88" s="5">
        <v>146699.0444</v>
      </c>
    </row>
    <row r="89" spans="1:6">
      <c r="A89" s="3" t="s">
        <v>10</v>
      </c>
      <c r="C89" s="5">
        <v>266819.725</v>
      </c>
      <c r="D89" s="5">
        <v>162294.7271</v>
      </c>
      <c r="E89" s="5">
        <v>4772.4236</v>
      </c>
      <c r="F89" s="5">
        <v>122680.203</v>
      </c>
    </row>
    <row r="90" spans="1:6">
      <c r="A90" s="3" t="s">
        <v>11</v>
      </c>
      <c r="C90" s="5">
        <v>276196.3076</v>
      </c>
      <c r="D90" s="5">
        <v>190320.9286</v>
      </c>
      <c r="E90" s="5">
        <v>6481.1812</v>
      </c>
      <c r="F90" s="5">
        <v>153271.1366</v>
      </c>
    </row>
    <row r="91" spans="1:6">
      <c r="A91" s="3" t="s">
        <v>12</v>
      </c>
      <c r="C91" s="5">
        <v>274564.8031</v>
      </c>
      <c r="D91" s="5">
        <v>202813.7474</v>
      </c>
      <c r="E91" s="5">
        <v>6216.3173</v>
      </c>
      <c r="F91" s="5">
        <v>167265.2132</v>
      </c>
    </row>
    <row r="92" spans="1:6">
      <c r="A92" s="3" t="s">
        <v>13</v>
      </c>
      <c r="C92" s="5">
        <v>293242.3967</v>
      </c>
      <c r="D92" s="5">
        <v>240454.3384</v>
      </c>
      <c r="E92" s="5">
        <v>5994.2926</v>
      </c>
      <c r="F92" s="5">
        <v>202163.4444</v>
      </c>
    </row>
    <row r="93" spans="1:6">
      <c r="A93" s="3" t="s">
        <v>14</v>
      </c>
      <c r="C93" s="5">
        <v>290608.5</v>
      </c>
      <c r="D93" s="5">
        <v>280325.3872</v>
      </c>
      <c r="E93" s="5">
        <v>7516.556</v>
      </c>
      <c r="F93" s="5">
        <v>333966.5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"/>
  <sheetViews>
    <sheetView workbookViewId="0">
      <selection activeCell="H65" sqref="H65"/>
    </sheetView>
  </sheetViews>
  <sheetFormatPr defaultColWidth="8.88888888888889" defaultRowHeight="13.8"/>
  <cols>
    <col min="1" max="1" width="12.25" style="2" customWidth="1"/>
    <col min="2" max="3" width="14.1111111111111" customWidth="1"/>
    <col min="4" max="4" width="11.8888888888889" customWidth="1"/>
    <col min="5" max="5" width="12.8888888888889" customWidth="1"/>
    <col min="6" max="6" width="23.1111111111111" customWidth="1"/>
    <col min="7" max="7" width="12.8888888888889" customWidth="1"/>
    <col min="8" max="8" width="7.66666666666667" customWidth="1"/>
    <col min="9" max="9" width="12.8888888888889" customWidth="1"/>
    <col min="10" max="10" width="6.77777777777778" customWidth="1"/>
    <col min="11" max="11" width="12.8888888888889" customWidth="1"/>
    <col min="12" max="12" width="6.77777777777778" customWidth="1"/>
    <col min="13" max="13" width="12.8888888888889" customWidth="1"/>
    <col min="14" max="14" width="6.77777777777778" customWidth="1"/>
    <col min="15" max="15" width="12.8888888888889" customWidth="1"/>
  </cols>
  <sheetData>
    <row r="1" spans="1:6">
      <c r="A1" s="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 s="2">
        <v>42736</v>
      </c>
      <c r="B2">
        <v>141631.458787489</v>
      </c>
      <c r="C2">
        <v>1.04918251473929</v>
      </c>
      <c r="D2">
        <v>0.97384527779404</v>
      </c>
      <c r="E2" s="4">
        <f t="shared" ref="E2:E65" si="0">B2*C2*D2</f>
        <v>144710.730299999</v>
      </c>
      <c r="F2" s="13">
        <v>144710.7303</v>
      </c>
    </row>
    <row r="3" spans="1:6">
      <c r="A3" s="2">
        <v>42767</v>
      </c>
      <c r="B3">
        <v>143485.444119133</v>
      </c>
      <c r="C3">
        <v>0.755943391905809</v>
      </c>
      <c r="D3">
        <v>0.972792458874361</v>
      </c>
      <c r="E3" s="4">
        <f t="shared" si="0"/>
        <v>105515.7564</v>
      </c>
      <c r="F3" s="4">
        <v>105515.7564</v>
      </c>
    </row>
    <row r="4" spans="1:6">
      <c r="A4" s="2">
        <v>42795</v>
      </c>
      <c r="B4">
        <v>145072.503462245</v>
      </c>
      <c r="C4">
        <v>0.844121216296385</v>
      </c>
      <c r="D4">
        <v>1.05590751544301</v>
      </c>
      <c r="E4" s="4">
        <f t="shared" si="0"/>
        <v>129305.1441</v>
      </c>
      <c r="F4" s="4">
        <v>129305.1441</v>
      </c>
    </row>
    <row r="5" spans="1:6">
      <c r="A5" s="2">
        <v>42826</v>
      </c>
      <c r="B5">
        <v>146188.224101766</v>
      </c>
      <c r="C5">
        <v>1.02582846948208</v>
      </c>
      <c r="D5">
        <v>0.985119598977988</v>
      </c>
      <c r="E5" s="4">
        <f t="shared" si="0"/>
        <v>147732.517099999</v>
      </c>
      <c r="F5" s="4">
        <v>147732.5171</v>
      </c>
    </row>
    <row r="6" spans="1:6">
      <c r="A6" s="2">
        <v>42856</v>
      </c>
      <c r="B6">
        <v>146304.58600946</v>
      </c>
      <c r="C6">
        <v>0.975351016776732</v>
      </c>
      <c r="D6">
        <v>0.997881368125556</v>
      </c>
      <c r="E6" s="4">
        <f t="shared" si="0"/>
        <v>142396.0015</v>
      </c>
      <c r="F6" s="4">
        <v>142396.0015</v>
      </c>
    </row>
    <row r="7" spans="1:6">
      <c r="A7" s="2">
        <v>42887</v>
      </c>
      <c r="B7">
        <v>145260.389590695</v>
      </c>
      <c r="C7">
        <v>1.04441204654974</v>
      </c>
      <c r="D7">
        <v>1.01329951358176</v>
      </c>
      <c r="E7" s="4">
        <f t="shared" si="0"/>
        <v>153729.3926</v>
      </c>
      <c r="F7" s="4">
        <v>153729.3926</v>
      </c>
    </row>
    <row r="8" spans="1:6">
      <c r="A8" s="2">
        <v>42917</v>
      </c>
      <c r="B8">
        <v>143819.166700284</v>
      </c>
      <c r="C8">
        <v>1.03186999988241</v>
      </c>
      <c r="D8">
        <v>1.02387636388843</v>
      </c>
      <c r="E8" s="4">
        <f t="shared" si="0"/>
        <v>151945.999999999</v>
      </c>
      <c r="F8" s="4">
        <v>151946</v>
      </c>
    </row>
    <row r="9" spans="1:6">
      <c r="A9" s="2">
        <v>42948</v>
      </c>
      <c r="B9">
        <v>143092.432509754</v>
      </c>
      <c r="C9">
        <v>1.0883880391556</v>
      </c>
      <c r="D9">
        <v>0.984903745679482</v>
      </c>
      <c r="E9" s="4">
        <f t="shared" si="0"/>
        <v>153389</v>
      </c>
      <c r="F9" s="4">
        <v>153389</v>
      </c>
    </row>
    <row r="10" spans="1:6">
      <c r="A10" s="2">
        <v>42979</v>
      </c>
      <c r="B10">
        <v>143980.202435955</v>
      </c>
      <c r="C10">
        <v>1.07262988216991</v>
      </c>
      <c r="D10">
        <v>0.918442928574515</v>
      </c>
      <c r="E10" s="4">
        <f t="shared" si="0"/>
        <v>141842.000000001</v>
      </c>
      <c r="F10" s="4">
        <v>141842</v>
      </c>
    </row>
    <row r="11" spans="1:6">
      <c r="A11" s="2">
        <v>43009</v>
      </c>
      <c r="B11">
        <v>146410.257337899</v>
      </c>
      <c r="C11">
        <v>0.998246388406261</v>
      </c>
      <c r="D11">
        <v>1.01124495319966</v>
      </c>
      <c r="E11" s="4">
        <f t="shared" si="0"/>
        <v>147797</v>
      </c>
      <c r="F11" s="4">
        <v>147797</v>
      </c>
    </row>
    <row r="12" spans="1:6">
      <c r="A12" s="2">
        <v>43040</v>
      </c>
      <c r="B12">
        <v>149824.398131813</v>
      </c>
      <c r="C12">
        <v>1.06164965357171</v>
      </c>
      <c r="D12">
        <v>1.0161194717647</v>
      </c>
      <c r="E12" s="4">
        <f t="shared" si="0"/>
        <v>161625</v>
      </c>
      <c r="F12" s="4">
        <v>161625</v>
      </c>
    </row>
    <row r="13" spans="1:6">
      <c r="A13" s="2">
        <v>43070</v>
      </c>
      <c r="B13">
        <v>153611.804102643</v>
      </c>
      <c r="C13">
        <v>1.05312173488375</v>
      </c>
      <c r="D13">
        <v>1.0101567086979</v>
      </c>
      <c r="E13" s="4">
        <f t="shared" si="0"/>
        <v>163415</v>
      </c>
      <c r="F13" s="4">
        <v>163415</v>
      </c>
    </row>
    <row r="14" spans="1:6">
      <c r="A14" s="2">
        <v>43101</v>
      </c>
      <c r="B14">
        <v>156554.638134648</v>
      </c>
      <c r="C14">
        <v>1.04886398556567</v>
      </c>
      <c r="D14">
        <v>0.996768663815325</v>
      </c>
      <c r="E14" s="4">
        <f t="shared" si="0"/>
        <v>163673.921700001</v>
      </c>
      <c r="F14" s="4">
        <v>163673.9217</v>
      </c>
    </row>
    <row r="15" spans="1:6">
      <c r="A15" s="2">
        <v>43132</v>
      </c>
      <c r="B15">
        <v>157637.393576688</v>
      </c>
      <c r="C15">
        <v>0.759611371211816</v>
      </c>
      <c r="D15">
        <v>1.25409026496575</v>
      </c>
      <c r="E15" s="4">
        <f t="shared" si="0"/>
        <v>150168.727099999</v>
      </c>
      <c r="F15" s="4">
        <v>150168.7271</v>
      </c>
    </row>
    <row r="16" spans="1:6">
      <c r="A16" s="2">
        <v>43160</v>
      </c>
      <c r="B16">
        <v>156762.462842199</v>
      </c>
      <c r="C16">
        <v>0.835491835815006</v>
      </c>
      <c r="D16">
        <v>0.888233075806031</v>
      </c>
      <c r="E16" s="4">
        <f t="shared" si="0"/>
        <v>116335.2238</v>
      </c>
      <c r="F16" s="4">
        <v>116335.2238</v>
      </c>
    </row>
    <row r="17" spans="1:6">
      <c r="A17" s="2">
        <v>43191</v>
      </c>
      <c r="B17">
        <v>155331.201191271</v>
      </c>
      <c r="C17">
        <v>1.02494309309747</v>
      </c>
      <c r="D17">
        <v>1.03147251654974</v>
      </c>
      <c r="E17" s="4">
        <f t="shared" si="0"/>
        <v>164216.244</v>
      </c>
      <c r="F17" s="4">
        <v>164216.244</v>
      </c>
    </row>
    <row r="18" spans="1:6">
      <c r="A18" s="2">
        <v>43221</v>
      </c>
      <c r="B18">
        <v>154878.185480544</v>
      </c>
      <c r="C18">
        <v>0.975291795045925</v>
      </c>
      <c r="D18">
        <v>0.983257948375044</v>
      </c>
      <c r="E18" s="4">
        <f t="shared" si="0"/>
        <v>148522.5128</v>
      </c>
      <c r="F18" s="4">
        <v>148522.5128</v>
      </c>
    </row>
    <row r="19" spans="1:6">
      <c r="A19" s="2">
        <v>43252</v>
      </c>
      <c r="B19">
        <v>155831.2146044</v>
      </c>
      <c r="C19">
        <v>1.04688224962566</v>
      </c>
      <c r="D19">
        <v>0.965496837408578</v>
      </c>
      <c r="E19" s="4">
        <f t="shared" si="0"/>
        <v>157508.1924</v>
      </c>
      <c r="F19" s="4">
        <v>157508.1924</v>
      </c>
    </row>
    <row r="20" spans="1:6">
      <c r="A20" s="2">
        <v>43282</v>
      </c>
      <c r="B20">
        <v>158177.783909548</v>
      </c>
      <c r="C20">
        <v>1.0402277530162</v>
      </c>
      <c r="D20">
        <v>0.973058326077465</v>
      </c>
      <c r="E20" s="4">
        <f t="shared" si="0"/>
        <v>160107.912900001</v>
      </c>
      <c r="F20" s="4">
        <v>160107.9129</v>
      </c>
    </row>
    <row r="21" spans="1:6">
      <c r="A21" s="2">
        <v>43313</v>
      </c>
      <c r="B21">
        <v>161593.694422167</v>
      </c>
      <c r="C21">
        <v>1.09017269185427</v>
      </c>
      <c r="D21">
        <v>1.01162353693102</v>
      </c>
      <c r="E21" s="4">
        <f t="shared" si="0"/>
        <v>178212.693600001</v>
      </c>
      <c r="F21" s="4">
        <v>178212.6936</v>
      </c>
    </row>
    <row r="22" spans="1:6">
      <c r="A22" s="2">
        <v>43344</v>
      </c>
      <c r="B22">
        <v>165214.16870029</v>
      </c>
      <c r="C22">
        <v>1.0705553108613</v>
      </c>
      <c r="D22">
        <v>1.05805982745376</v>
      </c>
      <c r="E22" s="4">
        <f t="shared" si="0"/>
        <v>187139.999999999</v>
      </c>
      <c r="F22" s="4">
        <v>187140</v>
      </c>
    </row>
    <row r="23" spans="1:6">
      <c r="A23" s="2">
        <v>43374</v>
      </c>
      <c r="B23">
        <v>168388.836698624</v>
      </c>
      <c r="C23">
        <v>0.998959616315992</v>
      </c>
      <c r="D23">
        <v>0.993557908557551</v>
      </c>
      <c r="E23" s="4">
        <f t="shared" si="0"/>
        <v>167130</v>
      </c>
      <c r="F23" s="4">
        <v>167130</v>
      </c>
    </row>
    <row r="24" spans="1:6">
      <c r="A24" s="2">
        <v>43405</v>
      </c>
      <c r="B24">
        <v>170814.400029937</v>
      </c>
      <c r="C24">
        <v>1.05952085819792</v>
      </c>
      <c r="D24">
        <v>0.965762122309951</v>
      </c>
      <c r="E24" s="4">
        <f t="shared" si="0"/>
        <v>174785.000000001</v>
      </c>
      <c r="F24" s="4">
        <v>174785</v>
      </c>
    </row>
    <row r="25" spans="1:6">
      <c r="A25" s="2">
        <v>43435</v>
      </c>
      <c r="B25">
        <v>172671.873860943</v>
      </c>
      <c r="C25">
        <v>1.04851262901594</v>
      </c>
      <c r="D25">
        <v>1.00511111035583</v>
      </c>
      <c r="E25" s="4">
        <f t="shared" si="0"/>
        <v>181974.000000001</v>
      </c>
      <c r="F25" s="4">
        <v>181974</v>
      </c>
    </row>
    <row r="26" spans="1:6">
      <c r="A26" s="2">
        <v>43466</v>
      </c>
      <c r="B26">
        <v>174636.52063978</v>
      </c>
      <c r="C26">
        <v>1.04451589206145</v>
      </c>
      <c r="D26">
        <v>1.01088302778093</v>
      </c>
      <c r="E26" s="4">
        <f t="shared" si="0"/>
        <v>184395.800999999</v>
      </c>
      <c r="F26" s="4">
        <v>184395.801</v>
      </c>
    </row>
    <row r="27" spans="1:6">
      <c r="A27" s="2">
        <v>43497</v>
      </c>
      <c r="B27">
        <v>176867.510054666</v>
      </c>
      <c r="C27">
        <v>0.767640090515456</v>
      </c>
      <c r="D27">
        <v>0.979183644279004</v>
      </c>
      <c r="E27" s="4">
        <f t="shared" si="0"/>
        <v>132944.3425</v>
      </c>
      <c r="F27" s="4">
        <v>132944.3425</v>
      </c>
    </row>
    <row r="28" spans="1:6">
      <c r="A28" s="2">
        <v>43525</v>
      </c>
      <c r="B28">
        <v>178994.49465816</v>
      </c>
      <c r="C28">
        <v>0.822086356653126</v>
      </c>
      <c r="D28">
        <v>1.02210238553461</v>
      </c>
      <c r="E28" s="4">
        <f t="shared" si="0"/>
        <v>150401.274400001</v>
      </c>
      <c r="F28" s="4">
        <v>150401.2744</v>
      </c>
    </row>
    <row r="29" spans="1:6">
      <c r="A29" s="2">
        <v>43556</v>
      </c>
      <c r="B29">
        <v>180461.20320383</v>
      </c>
      <c r="C29">
        <v>1.02638684902286</v>
      </c>
      <c r="D29">
        <v>0.991807159584233</v>
      </c>
      <c r="E29" s="4">
        <f t="shared" si="0"/>
        <v>183705.503200001</v>
      </c>
      <c r="F29" s="4">
        <v>183705.5032</v>
      </c>
    </row>
    <row r="30" spans="1:6">
      <c r="A30" s="2">
        <v>43586</v>
      </c>
      <c r="B30">
        <v>180903.467781796</v>
      </c>
      <c r="C30">
        <v>0.978798330174811</v>
      </c>
      <c r="D30">
        <v>1.01141278533247</v>
      </c>
      <c r="E30" s="4">
        <f t="shared" si="0"/>
        <v>179088.8514</v>
      </c>
      <c r="F30" s="4">
        <v>179088.8514</v>
      </c>
    </row>
    <row r="31" spans="1:6">
      <c r="A31" s="2">
        <v>43617</v>
      </c>
      <c r="B31">
        <v>180753.743972891</v>
      </c>
      <c r="C31">
        <v>1.05241044227902</v>
      </c>
      <c r="D31">
        <v>0.998752780736139</v>
      </c>
      <c r="E31" s="4">
        <f t="shared" si="0"/>
        <v>189989.8727</v>
      </c>
      <c r="F31" s="4">
        <v>189989.8727</v>
      </c>
    </row>
    <row r="32" spans="1:6">
      <c r="A32" s="2">
        <v>43647</v>
      </c>
      <c r="B32">
        <v>180373.271790221</v>
      </c>
      <c r="C32">
        <v>1.04791540061896</v>
      </c>
      <c r="D32">
        <v>0.987044215388739</v>
      </c>
      <c r="E32" s="4">
        <f t="shared" si="0"/>
        <v>186567.0797</v>
      </c>
      <c r="F32" s="4">
        <v>186567.0797</v>
      </c>
    </row>
    <row r="33" spans="1:6">
      <c r="A33" s="2">
        <v>43678</v>
      </c>
      <c r="B33">
        <v>179965.499704478</v>
      </c>
      <c r="C33">
        <v>1.09379444068793</v>
      </c>
      <c r="D33">
        <v>1.00485100780489</v>
      </c>
      <c r="E33" s="4">
        <f t="shared" si="0"/>
        <v>197800.161</v>
      </c>
      <c r="F33" s="4">
        <v>197800.161</v>
      </c>
    </row>
    <row r="34" spans="1:6">
      <c r="A34" s="2">
        <v>43709</v>
      </c>
      <c r="B34">
        <v>179693.956253335</v>
      </c>
      <c r="C34">
        <v>1.06795820362661</v>
      </c>
      <c r="D34">
        <v>1.00334209299303</v>
      </c>
      <c r="E34" s="4">
        <f t="shared" si="0"/>
        <v>192547.001200001</v>
      </c>
      <c r="F34" s="4">
        <v>192547.0012</v>
      </c>
    </row>
    <row r="35" spans="1:6">
      <c r="A35" s="2">
        <v>43739</v>
      </c>
      <c r="B35">
        <v>179246.296139706</v>
      </c>
      <c r="C35">
        <v>1.00061970312527</v>
      </c>
      <c r="D35">
        <v>0.986299883564916</v>
      </c>
      <c r="E35" s="4">
        <f t="shared" si="0"/>
        <v>176900.1587</v>
      </c>
      <c r="F35" s="4">
        <v>176900.1587</v>
      </c>
    </row>
    <row r="36" spans="1:6">
      <c r="A36" s="2">
        <v>43770</v>
      </c>
      <c r="B36">
        <v>178109.424426641</v>
      </c>
      <c r="C36">
        <v>1.05580353627871</v>
      </c>
      <c r="D36">
        <v>1.01591218216897</v>
      </c>
      <c r="E36" s="4">
        <f t="shared" si="0"/>
        <v>191040.8231</v>
      </c>
      <c r="F36" s="4">
        <v>191040.8231</v>
      </c>
    </row>
    <row r="37" spans="1:6">
      <c r="A37" s="2">
        <v>43800</v>
      </c>
      <c r="B37">
        <v>176502.925399168</v>
      </c>
      <c r="C37">
        <v>1.03723514199008</v>
      </c>
      <c r="D37">
        <v>1.06492712886464</v>
      </c>
      <c r="E37" s="4">
        <f t="shared" si="0"/>
        <v>194961.573400001</v>
      </c>
      <c r="F37" s="4">
        <v>194961.5734</v>
      </c>
    </row>
    <row r="38" spans="1:6">
      <c r="A38" s="2">
        <v>43831</v>
      </c>
      <c r="B38">
        <v>175398.191321913</v>
      </c>
      <c r="C38">
        <v>1.03805936094527</v>
      </c>
      <c r="D38">
        <v>1.01241074564068</v>
      </c>
      <c r="E38" s="4">
        <f t="shared" si="0"/>
        <v>184333.405200001</v>
      </c>
      <c r="F38" s="4">
        <v>184333.4052</v>
      </c>
    </row>
    <row r="39" spans="1:6">
      <c r="A39" s="2">
        <v>43862</v>
      </c>
      <c r="B39">
        <v>175867.014993262</v>
      </c>
      <c r="C39">
        <v>0.777667173617329</v>
      </c>
      <c r="D39">
        <v>0.746398967246216</v>
      </c>
      <c r="E39" s="4">
        <f t="shared" si="0"/>
        <v>102082.0045</v>
      </c>
      <c r="F39" s="4">
        <v>102082.0045</v>
      </c>
    </row>
    <row r="40" spans="1:6">
      <c r="A40" s="2">
        <v>43891</v>
      </c>
      <c r="B40">
        <v>178300.268461454</v>
      </c>
      <c r="C40">
        <v>0.811821665218843</v>
      </c>
      <c r="D40">
        <v>0.879394487408755</v>
      </c>
      <c r="E40" s="4">
        <f t="shared" si="0"/>
        <v>127290.6116</v>
      </c>
      <c r="F40" s="4">
        <v>127290.6116</v>
      </c>
    </row>
    <row r="41" spans="1:6">
      <c r="A41" s="2">
        <v>43922</v>
      </c>
      <c r="B41">
        <v>182538.268553191</v>
      </c>
      <c r="C41">
        <v>1.02649074702196</v>
      </c>
      <c r="D41">
        <v>0.996713071391015</v>
      </c>
      <c r="E41" s="4">
        <f t="shared" si="0"/>
        <v>186757.959200001</v>
      </c>
      <c r="F41" s="4">
        <v>186757.9592</v>
      </c>
    </row>
    <row r="42" spans="1:6">
      <c r="A42" s="2">
        <v>43952</v>
      </c>
      <c r="B42">
        <v>187855.156321549</v>
      </c>
      <c r="C42">
        <v>0.987556979807441</v>
      </c>
      <c r="D42">
        <v>1.01865583405922</v>
      </c>
      <c r="E42" s="4">
        <f t="shared" si="0"/>
        <v>188978.6577</v>
      </c>
      <c r="F42" s="4">
        <v>188978.6577</v>
      </c>
    </row>
    <row r="43" spans="1:6">
      <c r="A43" s="2">
        <v>43983</v>
      </c>
      <c r="B43">
        <v>193286.810657767</v>
      </c>
      <c r="C43">
        <v>1.05683684266053</v>
      </c>
      <c r="D43">
        <v>1.03771870206859</v>
      </c>
      <c r="E43" s="4">
        <f t="shared" si="0"/>
        <v>211977.5209</v>
      </c>
      <c r="F43" s="4">
        <v>211977.5209</v>
      </c>
    </row>
    <row r="44" spans="1:6">
      <c r="A44" s="2">
        <v>44013</v>
      </c>
      <c r="B44">
        <v>197690.484372702</v>
      </c>
      <c r="C44">
        <v>1.05902790923773</v>
      </c>
      <c r="D44">
        <v>0.982490892778911</v>
      </c>
      <c r="E44" s="4">
        <f t="shared" si="0"/>
        <v>205694.038199999</v>
      </c>
      <c r="F44" s="4">
        <v>205694.0382</v>
      </c>
    </row>
    <row r="45" spans="1:6">
      <c r="A45" s="2">
        <v>44044</v>
      </c>
      <c r="B45">
        <v>200776.885459038</v>
      </c>
      <c r="C45">
        <v>1.09695646357754</v>
      </c>
      <c r="D45">
        <v>0.989314443253442</v>
      </c>
      <c r="E45" s="4">
        <f t="shared" si="0"/>
        <v>217890.077799999</v>
      </c>
      <c r="F45" s="4">
        <v>217890.0778</v>
      </c>
    </row>
    <row r="46" spans="1:6">
      <c r="A46" s="2">
        <v>44075</v>
      </c>
      <c r="B46">
        <v>203493.440820553</v>
      </c>
      <c r="C46">
        <v>1.05996570618054</v>
      </c>
      <c r="D46">
        <v>1.01453324910552</v>
      </c>
      <c r="E46" s="4">
        <f t="shared" si="0"/>
        <v>218830.8334</v>
      </c>
      <c r="F46" s="4">
        <v>218830.8334</v>
      </c>
    </row>
    <row r="47" spans="1:6">
      <c r="A47" s="2">
        <v>44105</v>
      </c>
      <c r="B47">
        <v>206640.695798778</v>
      </c>
      <c r="C47">
        <v>1.00159904764054</v>
      </c>
      <c r="D47">
        <v>0.986944316858798</v>
      </c>
      <c r="E47" s="4">
        <f t="shared" si="0"/>
        <v>204268.9747</v>
      </c>
      <c r="F47" s="4">
        <v>204268.9747</v>
      </c>
    </row>
    <row r="48" spans="1:6">
      <c r="A48" s="2">
        <v>44136</v>
      </c>
      <c r="B48">
        <v>210497.297198515</v>
      </c>
      <c r="C48">
        <v>1.05211480650901</v>
      </c>
      <c r="D48">
        <v>0.996251307411783</v>
      </c>
      <c r="E48" s="4">
        <f t="shared" si="0"/>
        <v>220637.1102</v>
      </c>
      <c r="F48" s="4">
        <v>220637.1102</v>
      </c>
    </row>
    <row r="49" spans="1:6">
      <c r="A49" s="2">
        <v>44166</v>
      </c>
      <c r="B49">
        <v>214232.265535555</v>
      </c>
      <c r="C49">
        <v>1.02710713529713</v>
      </c>
      <c r="D49">
        <v>0.9820675803758</v>
      </c>
      <c r="E49" s="4">
        <f t="shared" si="0"/>
        <v>216093.648100001</v>
      </c>
      <c r="F49" s="4">
        <v>216093.6481</v>
      </c>
    </row>
    <row r="50" spans="1:6">
      <c r="A50" s="2">
        <v>44197</v>
      </c>
      <c r="B50">
        <v>216491.111310378</v>
      </c>
      <c r="C50">
        <v>1.02937753573058</v>
      </c>
      <c r="D50">
        <v>1.02309075225381</v>
      </c>
      <c r="E50" s="4">
        <f t="shared" si="0"/>
        <v>227996.885900001</v>
      </c>
      <c r="F50" s="5">
        <v>227996.8859</v>
      </c>
    </row>
    <row r="51" spans="1:6">
      <c r="A51" s="2">
        <v>44228</v>
      </c>
      <c r="B51">
        <v>217426.07457415</v>
      </c>
      <c r="C51">
        <v>0.787100129627412</v>
      </c>
      <c r="D51">
        <v>1.12490529048102</v>
      </c>
      <c r="E51" s="4">
        <f t="shared" si="0"/>
        <v>192511.8947</v>
      </c>
      <c r="F51" s="5">
        <v>192511.8947</v>
      </c>
    </row>
    <row r="52" spans="1:6">
      <c r="A52" s="2">
        <v>44256</v>
      </c>
      <c r="B52">
        <v>218328.931009019</v>
      </c>
      <c r="C52">
        <v>0.803142313755848</v>
      </c>
      <c r="D52">
        <v>0.970108812435886</v>
      </c>
      <c r="E52" s="4">
        <f t="shared" si="0"/>
        <v>170107.8069</v>
      </c>
      <c r="F52" s="5">
        <v>170107.8069</v>
      </c>
    </row>
    <row r="53" spans="1:6">
      <c r="A53" s="2">
        <v>44287</v>
      </c>
      <c r="B53">
        <v>219953.30631039</v>
      </c>
      <c r="C53">
        <v>1.02755518271129</v>
      </c>
      <c r="D53">
        <v>1.00082387513418</v>
      </c>
      <c r="E53" s="4">
        <f t="shared" si="0"/>
        <v>226200.367300001</v>
      </c>
      <c r="F53" s="5">
        <v>226200.3673</v>
      </c>
    </row>
    <row r="54" spans="1:6">
      <c r="A54" s="2">
        <v>44317</v>
      </c>
      <c r="B54">
        <v>222697.387164741</v>
      </c>
      <c r="C54">
        <v>0.999368435264418</v>
      </c>
      <c r="D54">
        <v>0.958764665697502</v>
      </c>
      <c r="E54" s="4">
        <f t="shared" si="0"/>
        <v>213379.5378</v>
      </c>
      <c r="F54" s="5">
        <v>213379.5378</v>
      </c>
    </row>
    <row r="55" spans="1:6">
      <c r="A55" s="2">
        <v>44348</v>
      </c>
      <c r="B55">
        <v>226365.554388541</v>
      </c>
      <c r="C55">
        <v>1.06343669690242</v>
      </c>
      <c r="D55">
        <v>0.977100345896988</v>
      </c>
      <c r="E55" s="4">
        <f t="shared" si="0"/>
        <v>235212.908200001</v>
      </c>
      <c r="F55" s="5">
        <v>235212.9082</v>
      </c>
    </row>
    <row r="56" spans="1:6">
      <c r="A56" s="2">
        <v>44378</v>
      </c>
      <c r="B56">
        <v>230232.560448186</v>
      </c>
      <c r="C56">
        <v>1.06566551349705</v>
      </c>
      <c r="D56">
        <v>1.06852446297575</v>
      </c>
      <c r="E56" s="4">
        <f t="shared" si="0"/>
        <v>262163.4384</v>
      </c>
      <c r="F56" s="5">
        <v>262163.4384</v>
      </c>
    </row>
    <row r="57" spans="1:6">
      <c r="A57" s="2">
        <v>44409</v>
      </c>
      <c r="B57">
        <v>232764.846555889</v>
      </c>
      <c r="C57">
        <v>1.09835707562237</v>
      </c>
      <c r="D57">
        <v>1.17150704808546</v>
      </c>
      <c r="E57" s="4">
        <f t="shared" si="0"/>
        <v>299506.222200001</v>
      </c>
      <c r="F57" s="5">
        <v>299506.2222</v>
      </c>
    </row>
    <row r="58" spans="1:6">
      <c r="A58" s="2">
        <v>44440</v>
      </c>
      <c r="B58" s="20">
        <v>232751.292279746</v>
      </c>
      <c r="C58" s="15">
        <v>1.05225532911343</v>
      </c>
      <c r="D58" s="14">
        <v>0.979666382170665</v>
      </c>
      <c r="E58" s="4">
        <f t="shared" si="0"/>
        <v>239933.804299999</v>
      </c>
      <c r="F58" s="5">
        <v>239933.8043</v>
      </c>
    </row>
    <row r="59" spans="1:6">
      <c r="A59" s="2">
        <v>44470</v>
      </c>
      <c r="B59" s="20">
        <v>230654.002032578</v>
      </c>
      <c r="C59" s="15">
        <v>1.00212794474224</v>
      </c>
      <c r="D59" s="14">
        <v>1.00876927282091</v>
      </c>
      <c r="E59" s="4">
        <f t="shared" si="0"/>
        <v>233171.793</v>
      </c>
      <c r="F59" s="5">
        <v>233171.793</v>
      </c>
    </row>
    <row r="60" spans="1:6">
      <c r="A60" s="2">
        <v>44501</v>
      </c>
      <c r="B60" s="20">
        <v>228271.975753149</v>
      </c>
      <c r="C60" s="15">
        <v>1.04760566192532</v>
      </c>
      <c r="D60" s="14">
        <v>0.994813920841291</v>
      </c>
      <c r="E60" s="4">
        <f t="shared" si="0"/>
        <v>237898.820400001</v>
      </c>
      <c r="F60" s="5">
        <v>237898.8204</v>
      </c>
    </row>
    <row r="61" spans="1:6">
      <c r="A61" s="2">
        <v>44531</v>
      </c>
      <c r="B61" s="20">
        <v>227035.280918947</v>
      </c>
      <c r="C61" s="15">
        <v>1.01665241635323</v>
      </c>
      <c r="D61" s="14">
        <v>1.00957477892705</v>
      </c>
      <c r="E61" s="4">
        <f t="shared" si="0"/>
        <v>233025.978800001</v>
      </c>
      <c r="F61" s="5">
        <v>233025.9788</v>
      </c>
    </row>
    <row r="62" spans="1:6">
      <c r="A62" s="2">
        <v>44562</v>
      </c>
      <c r="B62">
        <v>228165.634160698</v>
      </c>
      <c r="C62">
        <v>1.02361872614972</v>
      </c>
      <c r="D62">
        <v>0.951934076093035</v>
      </c>
      <c r="E62" s="4">
        <f t="shared" si="0"/>
        <v>222328.5974</v>
      </c>
      <c r="F62" s="5">
        <v>222328.5974</v>
      </c>
    </row>
    <row r="63" spans="1:6">
      <c r="A63" s="2">
        <v>44593</v>
      </c>
      <c r="B63">
        <v>230787.348585877</v>
      </c>
      <c r="C63">
        <v>0.795110291347032</v>
      </c>
      <c r="D63">
        <v>1.00796341367826</v>
      </c>
      <c r="E63" s="4">
        <f t="shared" si="0"/>
        <v>184962.693499999</v>
      </c>
      <c r="F63" s="5">
        <v>184962.6935</v>
      </c>
    </row>
    <row r="64" spans="1:6">
      <c r="A64" s="2">
        <v>44621</v>
      </c>
      <c r="B64">
        <v>233224.289017011</v>
      </c>
      <c r="C64">
        <v>0.80127527381198</v>
      </c>
      <c r="D64">
        <v>1.19975418973208</v>
      </c>
      <c r="E64" s="4">
        <f t="shared" si="0"/>
        <v>224206.291</v>
      </c>
      <c r="F64" s="5">
        <v>224206.291</v>
      </c>
    </row>
    <row r="65" spans="1:6">
      <c r="A65" s="2">
        <v>44652</v>
      </c>
      <c r="B65">
        <v>234148.362290419</v>
      </c>
      <c r="C65">
        <v>1.0275518796186</v>
      </c>
      <c r="D65">
        <v>1.0100321564183</v>
      </c>
      <c r="E65" s="4">
        <f t="shared" si="0"/>
        <v>243013.3225</v>
      </c>
      <c r="F65" s="5">
        <v>243013.3225</v>
      </c>
    </row>
    <row r="66" spans="1:6">
      <c r="A66" s="2">
        <v>44682</v>
      </c>
      <c r="B66">
        <v>232960.835342436</v>
      </c>
      <c r="C66">
        <v>1.00842608171355</v>
      </c>
      <c r="D66">
        <v>1.00901489964737</v>
      </c>
      <c r="E66" s="4">
        <f t="shared" ref="E66:E97" si="1">B66*C66*D66</f>
        <v>237041.596699998</v>
      </c>
      <c r="F66" s="5">
        <v>237041.5967</v>
      </c>
    </row>
    <row r="67" spans="1:6">
      <c r="A67" s="2">
        <v>44713</v>
      </c>
      <c r="B67">
        <v>230426.485991026</v>
      </c>
      <c r="C67">
        <v>1.06501043128381</v>
      </c>
      <c r="D67">
        <v>1.02572083223018</v>
      </c>
      <c r="E67" s="4">
        <f t="shared" si="1"/>
        <v>251718.673499998</v>
      </c>
      <c r="F67" s="5">
        <v>251718.6735</v>
      </c>
    </row>
    <row r="68" spans="1:6">
      <c r="A68" s="2">
        <v>44743</v>
      </c>
      <c r="B68">
        <v>227903.524794819</v>
      </c>
      <c r="C68">
        <v>1.07466980716767</v>
      </c>
      <c r="D68">
        <v>0.963678693135377</v>
      </c>
      <c r="E68" s="4">
        <f t="shared" si="1"/>
        <v>236025.184900001</v>
      </c>
      <c r="F68" s="5">
        <v>236025.1849</v>
      </c>
    </row>
    <row r="69" spans="1:6">
      <c r="A69" s="2">
        <v>44774</v>
      </c>
      <c r="B69">
        <v>226835.516568333</v>
      </c>
      <c r="C69">
        <v>1.09805887920441</v>
      </c>
      <c r="D69">
        <v>0.798239879299259</v>
      </c>
      <c r="E69" s="4">
        <f t="shared" si="1"/>
        <v>198824.593799999</v>
      </c>
      <c r="F69" s="5">
        <v>198824.5938</v>
      </c>
    </row>
    <row r="70" ht="14.4" spans="1:13">
      <c r="A70" s="2">
        <v>44805</v>
      </c>
      <c r="B70">
        <v>228243.801595278</v>
      </c>
      <c r="C70">
        <v>1.04232030693087</v>
      </c>
      <c r="D70">
        <v>0.963572254683782</v>
      </c>
      <c r="E70" s="4">
        <f t="shared" si="1"/>
        <v>229236.873999999</v>
      </c>
      <c r="F70" s="5">
        <v>229236.874</v>
      </c>
      <c r="G70" s="21"/>
      <c r="H70" s="21"/>
      <c r="I70" s="21"/>
      <c r="J70" s="21"/>
      <c r="K70" s="21"/>
      <c r="L70" s="21"/>
      <c r="M70" s="21"/>
    </row>
    <row r="71" ht="14.4" spans="1:6">
      <c r="A71" s="2">
        <v>44835</v>
      </c>
      <c r="B71">
        <v>232018.440630879</v>
      </c>
      <c r="C71">
        <v>1.00214942267738</v>
      </c>
      <c r="D71" s="22">
        <v>1.03258464930817</v>
      </c>
      <c r="E71" s="4">
        <f t="shared" si="1"/>
        <v>240093.636</v>
      </c>
      <c r="F71" s="5">
        <v>240093.636</v>
      </c>
    </row>
    <row r="72" ht="14.4" spans="1:6">
      <c r="A72" s="2">
        <v>44866</v>
      </c>
      <c r="B72">
        <v>237206.108623708</v>
      </c>
      <c r="C72">
        <v>1.04407627367783</v>
      </c>
      <c r="D72" s="22">
        <v>1.02506036577664</v>
      </c>
      <c r="E72" s="4">
        <f t="shared" si="1"/>
        <v>253867.752000002</v>
      </c>
      <c r="F72" s="5">
        <v>253867.752</v>
      </c>
    </row>
    <row r="73" ht="14.4" spans="1:6">
      <c r="A73" s="2">
        <v>44896</v>
      </c>
      <c r="B73">
        <v>243095.656747512</v>
      </c>
      <c r="C73">
        <v>1.0130553280943</v>
      </c>
      <c r="D73" s="22">
        <v>0.965231304691156</v>
      </c>
      <c r="E73" s="4">
        <f t="shared" si="1"/>
        <v>237706.886300001</v>
      </c>
      <c r="F73" s="5">
        <v>237706.8863</v>
      </c>
    </row>
    <row r="74" spans="1:6">
      <c r="A74" s="2">
        <v>44927</v>
      </c>
      <c r="B74">
        <v>248610.992910837</v>
      </c>
      <c r="C74">
        <v>1.0201900305682</v>
      </c>
      <c r="D74">
        <v>0.80470043641767</v>
      </c>
      <c r="E74" s="4">
        <f t="shared" si="1"/>
        <v>204096.539</v>
      </c>
      <c r="F74" s="5">
        <v>204096.539</v>
      </c>
    </row>
    <row r="75" spans="1:6">
      <c r="A75" s="2">
        <v>44958</v>
      </c>
      <c r="B75">
        <v>252924.211952244</v>
      </c>
      <c r="C75">
        <v>0.801191188527242</v>
      </c>
      <c r="D75">
        <v>1.14996423087601</v>
      </c>
      <c r="E75" s="4">
        <f t="shared" si="1"/>
        <v>233029.4992</v>
      </c>
      <c r="F75" s="5">
        <v>233029.4992</v>
      </c>
    </row>
    <row r="76" spans="1:6">
      <c r="A76" s="2">
        <v>44986</v>
      </c>
      <c r="B76">
        <v>255803.379377004</v>
      </c>
      <c r="C76">
        <v>0.800581683546206</v>
      </c>
      <c r="D76">
        <v>1.18028391930424</v>
      </c>
      <c r="E76" s="4">
        <f t="shared" si="1"/>
        <v>241712.1144</v>
      </c>
      <c r="F76" s="5">
        <v>241712.1144</v>
      </c>
    </row>
    <row r="77" spans="1:6">
      <c r="A77" s="2">
        <v>45017</v>
      </c>
      <c r="B77">
        <v>257358.761963909</v>
      </c>
      <c r="C77">
        <v>1.02949366543456</v>
      </c>
      <c r="D77">
        <v>0.98537797183809</v>
      </c>
      <c r="E77" s="4">
        <f t="shared" si="1"/>
        <v>261075.120300001</v>
      </c>
      <c r="F77" s="5">
        <v>261075.1203</v>
      </c>
    </row>
    <row r="78" spans="1:6">
      <c r="A78" s="2">
        <v>45047</v>
      </c>
      <c r="B78">
        <v>257909.325944704</v>
      </c>
      <c r="C78">
        <v>1.0106203757384</v>
      </c>
      <c r="D78">
        <v>1.03426844410184</v>
      </c>
      <c r="E78" s="4">
        <f t="shared" si="1"/>
        <v>269580.435699999</v>
      </c>
      <c r="F78" s="5">
        <v>269580.4357</v>
      </c>
    </row>
    <row r="79" spans="1:6">
      <c r="A79" s="2">
        <v>45078</v>
      </c>
      <c r="B79">
        <v>257200.531753211</v>
      </c>
      <c r="C79">
        <v>1.0643972904809</v>
      </c>
      <c r="D79">
        <v>0.969243897751224</v>
      </c>
      <c r="E79" s="4">
        <f t="shared" si="1"/>
        <v>265343.6494</v>
      </c>
      <c r="F79" s="5">
        <v>265343.6494</v>
      </c>
    </row>
    <row r="80" spans="1:6">
      <c r="A80" s="2">
        <v>45108</v>
      </c>
      <c r="B80">
        <v>256237.968628766</v>
      </c>
      <c r="C80">
        <v>1.07907291716663</v>
      </c>
      <c r="D80">
        <v>0.995177800223414</v>
      </c>
      <c r="E80" s="4">
        <f t="shared" si="1"/>
        <v>275166.116700001</v>
      </c>
      <c r="F80" s="5">
        <v>275166.1167</v>
      </c>
    </row>
    <row r="81" spans="1:6">
      <c r="A81" s="2">
        <v>45139</v>
      </c>
      <c r="B81">
        <v>256142.280441297</v>
      </c>
      <c r="C81">
        <v>1.09789173381771</v>
      </c>
      <c r="D81">
        <v>1.00053738285761</v>
      </c>
      <c r="E81" s="4">
        <f t="shared" si="1"/>
        <v>281367.613299999</v>
      </c>
      <c r="F81" s="5">
        <v>281367.6133</v>
      </c>
    </row>
    <row r="82" spans="1:6">
      <c r="A82" s="2">
        <v>45170</v>
      </c>
      <c r="B82">
        <v>256952.774299112</v>
      </c>
      <c r="C82">
        <v>1.03753075073188</v>
      </c>
      <c r="D82">
        <v>1.02160025669763</v>
      </c>
      <c r="E82" s="4">
        <f t="shared" si="1"/>
        <v>272354.9556</v>
      </c>
      <c r="F82" s="5">
        <v>272354.9556</v>
      </c>
    </row>
    <row r="83" spans="1:6">
      <c r="A83" s="2">
        <v>45200</v>
      </c>
      <c r="B83">
        <v>258367.921299181</v>
      </c>
      <c r="C83">
        <v>1.00359256086981</v>
      </c>
      <c r="D83">
        <v>0.978806864124792</v>
      </c>
      <c r="E83" s="4">
        <f t="shared" si="1"/>
        <v>253800.825800001</v>
      </c>
      <c r="F83" s="5">
        <v>253800.8258</v>
      </c>
    </row>
    <row r="84" spans="1:6">
      <c r="A84" s="2">
        <v>45231</v>
      </c>
      <c r="B84">
        <v>259995.705322536</v>
      </c>
      <c r="C84">
        <v>1.04158386134511</v>
      </c>
      <c r="D84">
        <v>0.981660937056363</v>
      </c>
      <c r="E84" s="4">
        <f t="shared" si="1"/>
        <v>265840.977999999</v>
      </c>
      <c r="F84" s="5">
        <v>265840.978</v>
      </c>
    </row>
    <row r="85" spans="1:6">
      <c r="A85" s="2">
        <v>45261</v>
      </c>
      <c r="B85">
        <v>262545.761501091</v>
      </c>
      <c r="C85">
        <v>1.01098071619126</v>
      </c>
      <c r="D85">
        <v>1.03041861503278</v>
      </c>
      <c r="E85" s="4">
        <f t="shared" si="1"/>
        <v>273502.6755</v>
      </c>
      <c r="F85" s="5">
        <v>273502.6755</v>
      </c>
    </row>
    <row r="86" spans="1:8">
      <c r="A86" s="3" t="s">
        <v>7</v>
      </c>
      <c r="B86" s="6">
        <v>258375.683131649</v>
      </c>
      <c r="C86">
        <v>1.0201900305682</v>
      </c>
      <c r="D86" s="6">
        <v>1.00038648486592</v>
      </c>
      <c r="E86" s="4">
        <f t="shared" si="1"/>
        <v>263694.170505362</v>
      </c>
      <c r="F86" s="5">
        <v>274707.3389</v>
      </c>
      <c r="H86" s="16">
        <f t="shared" ref="H86:H93" si="2">ABS((E86-F86))/F86</f>
        <v>0.0400905503243474</v>
      </c>
    </row>
    <row r="87" spans="1:8">
      <c r="A87" s="3" t="s">
        <v>8</v>
      </c>
      <c r="B87" s="6">
        <v>258482.370628598</v>
      </c>
      <c r="C87">
        <v>0.801191188527242</v>
      </c>
      <c r="D87" s="6">
        <v>1.04433017594687</v>
      </c>
      <c r="E87" s="4">
        <f t="shared" si="1"/>
        <v>216274.302228464</v>
      </c>
      <c r="F87" s="5">
        <v>182262.2541</v>
      </c>
      <c r="H87" s="16">
        <f t="shared" si="2"/>
        <v>0.186610487708568</v>
      </c>
    </row>
    <row r="88" spans="1:8">
      <c r="A88" s="3" t="s">
        <v>9</v>
      </c>
      <c r="B88" s="6">
        <v>258372.268914396</v>
      </c>
      <c r="C88">
        <v>0.800581683546206</v>
      </c>
      <c r="D88" s="6">
        <v>1.00667507528889</v>
      </c>
      <c r="E88" s="4">
        <f t="shared" si="1"/>
        <v>208228.832710249</v>
      </c>
      <c r="F88" s="5">
        <v>274899.1143</v>
      </c>
      <c r="H88" s="16">
        <f t="shared" si="2"/>
        <v>0.242526360114035</v>
      </c>
    </row>
    <row r="89" spans="1:8">
      <c r="A89" s="3" t="s">
        <v>10</v>
      </c>
      <c r="B89" s="6">
        <v>257911.281663136</v>
      </c>
      <c r="C89">
        <v>1.02949366543456</v>
      </c>
      <c r="D89" s="6">
        <v>0.998082406990487</v>
      </c>
      <c r="E89" s="4">
        <f t="shared" si="1"/>
        <v>265008.875196706</v>
      </c>
      <c r="F89" s="5">
        <v>266819.725</v>
      </c>
      <c r="H89" s="16">
        <f t="shared" si="2"/>
        <v>0.00678679135620126</v>
      </c>
    </row>
    <row r="90" spans="1:8">
      <c r="A90" s="3" t="s">
        <v>11</v>
      </c>
      <c r="B90" s="6">
        <v>259140.472324478</v>
      </c>
      <c r="C90">
        <v>1.0106203757384</v>
      </c>
      <c r="D90" s="6">
        <v>1.00007355523395</v>
      </c>
      <c r="E90" s="4">
        <f t="shared" si="1"/>
        <v>261911.905084106</v>
      </c>
      <c r="F90" s="5">
        <v>276196.3076</v>
      </c>
      <c r="H90" s="16">
        <f t="shared" si="2"/>
        <v>0.051718296453772</v>
      </c>
    </row>
    <row r="91" spans="1:8">
      <c r="A91" s="3" t="s">
        <v>12</v>
      </c>
      <c r="B91" s="6">
        <v>260800.759987628</v>
      </c>
      <c r="C91">
        <v>1.0643972904809</v>
      </c>
      <c r="D91" s="6">
        <v>0.994824179903487</v>
      </c>
      <c r="E91" s="4">
        <f t="shared" si="1"/>
        <v>276158.837285658</v>
      </c>
      <c r="F91" s="5">
        <v>274564.8031</v>
      </c>
      <c r="H91" s="16">
        <f t="shared" si="2"/>
        <v>0.00580567562797701</v>
      </c>
    </row>
    <row r="92" spans="1:8">
      <c r="A92" s="3" t="s">
        <v>13</v>
      </c>
      <c r="B92" s="6">
        <v>261442.972441676</v>
      </c>
      <c r="C92">
        <v>1.07907291716663</v>
      </c>
      <c r="D92" s="6">
        <v>0.994575054659601</v>
      </c>
      <c r="E92" s="4">
        <f t="shared" si="1"/>
        <v>280585.566897825</v>
      </c>
      <c r="F92" s="5">
        <v>293242.3967</v>
      </c>
      <c r="H92" s="16">
        <f t="shared" si="2"/>
        <v>0.0431616640179199</v>
      </c>
    </row>
    <row r="93" spans="1:8">
      <c r="A93" s="3" t="s">
        <v>14</v>
      </c>
      <c r="B93" s="6">
        <v>262539.796526438</v>
      </c>
      <c r="C93">
        <v>1.09789173381771</v>
      </c>
      <c r="D93" s="6">
        <v>0.997084381212339</v>
      </c>
      <c r="E93" s="4">
        <f t="shared" si="1"/>
        <v>287399.873650977</v>
      </c>
      <c r="F93" s="5">
        <v>290608.5</v>
      </c>
      <c r="H93" s="16">
        <f t="shared" si="2"/>
        <v>0.0110410615966946</v>
      </c>
    </row>
    <row r="94" spans="1:11">
      <c r="A94" s="3" t="s">
        <v>20</v>
      </c>
      <c r="B94" s="6">
        <v>262464.452811751</v>
      </c>
      <c r="C94">
        <v>1.03753075073188</v>
      </c>
      <c r="D94" s="6">
        <v>0.994307891935326</v>
      </c>
      <c r="E94" s="4">
        <f t="shared" si="1"/>
        <v>270764.894695742</v>
      </c>
      <c r="H94">
        <f>(SUM(H86:H93))/8</f>
        <v>0.0734676108999394</v>
      </c>
      <c r="J94" s="16"/>
      <c r="K94" s="16"/>
    </row>
    <row r="95" spans="1:5">
      <c r="A95" s="3" t="s">
        <v>21</v>
      </c>
      <c r="B95" s="6">
        <v>260586.583513021</v>
      </c>
      <c r="C95">
        <v>1.00359256086981</v>
      </c>
      <c r="D95" s="6">
        <v>0.994427764674328</v>
      </c>
      <c r="E95" s="4">
        <f t="shared" si="1"/>
        <v>260065.490332929</v>
      </c>
    </row>
    <row r="96" spans="1:5">
      <c r="A96" s="3" t="s">
        <v>22</v>
      </c>
      <c r="B96" s="6">
        <v>260754.57296378</v>
      </c>
      <c r="C96">
        <v>1.04158386134511</v>
      </c>
      <c r="D96" s="6">
        <v>0.995419052545146</v>
      </c>
      <c r="E96" s="4">
        <f t="shared" si="1"/>
        <v>270353.579926631</v>
      </c>
    </row>
    <row r="97" spans="1:5">
      <c r="A97" s="3" t="s">
        <v>23</v>
      </c>
      <c r="B97" s="6">
        <v>262509.648173028</v>
      </c>
      <c r="C97">
        <v>1.01098071619126</v>
      </c>
      <c r="D97" s="6">
        <v>0.997889383545486</v>
      </c>
      <c r="E97" s="4">
        <f t="shared" si="1"/>
        <v>264832.050989502</v>
      </c>
    </row>
    <row r="101" spans="6:16">
      <c r="F101" s="3"/>
      <c r="H101" s="16"/>
      <c r="J101" s="23"/>
      <c r="L101" s="23"/>
      <c r="N101" s="23"/>
      <c r="P101" s="16"/>
    </row>
    <row r="102" spans="6:6">
      <c r="F102" s="3"/>
    </row>
    <row r="103" spans="6:6">
      <c r="F103" s="3"/>
    </row>
    <row r="104" spans="6:6">
      <c r="F104" s="3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topLeftCell="A71" workbookViewId="0">
      <selection activeCell="H86" sqref="H86:H94"/>
    </sheetView>
  </sheetViews>
  <sheetFormatPr defaultColWidth="8.88888888888889" defaultRowHeight="13.8"/>
  <cols>
    <col min="1" max="1" width="12.25" style="2" customWidth="1"/>
    <col min="2" max="3" width="14.1111111111111" customWidth="1"/>
    <col min="4" max="6" width="11.8888888888889" customWidth="1"/>
    <col min="7" max="7" width="12.8888888888889"/>
  </cols>
  <sheetData>
    <row r="1" spans="1:6">
      <c r="A1" s="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 s="2">
        <v>42736</v>
      </c>
      <c r="B2">
        <v>109698.014787058</v>
      </c>
      <c r="C2">
        <v>1.13354807007712</v>
      </c>
      <c r="D2">
        <v>0.934880040576045</v>
      </c>
      <c r="E2" s="4">
        <f t="shared" ref="E2:E65" si="0">B2*C2*D2</f>
        <v>116250.438</v>
      </c>
      <c r="F2" s="13">
        <v>116250.438</v>
      </c>
    </row>
    <row r="3" spans="1:6">
      <c r="A3" s="2">
        <v>42767</v>
      </c>
      <c r="B3">
        <v>111879.567878201</v>
      </c>
      <c r="C3">
        <v>0.94425506745812</v>
      </c>
      <c r="D3">
        <v>1.00018786208615</v>
      </c>
      <c r="E3" s="4">
        <f t="shared" si="0"/>
        <v>105662.6952</v>
      </c>
      <c r="F3" s="4">
        <v>105662.6952</v>
      </c>
    </row>
    <row r="4" spans="1:6">
      <c r="A4" s="2">
        <v>42795</v>
      </c>
      <c r="B4">
        <v>114455.627098644</v>
      </c>
      <c r="C4">
        <v>0.800149519018357</v>
      </c>
      <c r="D4">
        <v>1.11028174411613</v>
      </c>
      <c r="E4" s="4">
        <f t="shared" si="0"/>
        <v>101681.3952</v>
      </c>
      <c r="F4" s="4">
        <v>101681.3952</v>
      </c>
    </row>
    <row r="5" spans="1:6">
      <c r="A5" s="2">
        <v>42826</v>
      </c>
      <c r="B5">
        <v>116533.980572799</v>
      </c>
      <c r="C5">
        <v>0.870928028058968</v>
      </c>
      <c r="D5">
        <v>1.05078987843404</v>
      </c>
      <c r="E5" s="4">
        <f t="shared" si="0"/>
        <v>106647.5123</v>
      </c>
      <c r="F5" s="4">
        <v>106647.5123</v>
      </c>
    </row>
    <row r="6" spans="1:6">
      <c r="A6" s="2">
        <v>42856</v>
      </c>
      <c r="B6">
        <v>117917.111974903</v>
      </c>
      <c r="C6">
        <v>0.861080376735502</v>
      </c>
      <c r="D6">
        <v>0.972778613734887</v>
      </c>
      <c r="E6" s="4">
        <f t="shared" si="0"/>
        <v>98772.1574999999</v>
      </c>
      <c r="F6" s="4">
        <v>98772.1575</v>
      </c>
    </row>
    <row r="7" spans="1:6">
      <c r="A7" s="2">
        <v>42887</v>
      </c>
      <c r="B7">
        <v>118600.0151077</v>
      </c>
      <c r="C7">
        <v>1.00318324244036</v>
      </c>
      <c r="D7">
        <v>0.981789596012573</v>
      </c>
      <c r="E7" s="4">
        <f t="shared" si="0"/>
        <v>116810.9185</v>
      </c>
      <c r="F7" s="4">
        <v>116810.9185</v>
      </c>
    </row>
    <row r="8" spans="1:6">
      <c r="A8" s="2">
        <v>42917</v>
      </c>
      <c r="B8">
        <v>118587.00226222</v>
      </c>
      <c r="C8">
        <v>1.10474013683284</v>
      </c>
      <c r="D8">
        <v>0.992345685949909</v>
      </c>
      <c r="E8" s="4">
        <f t="shared" si="0"/>
        <v>130005.0461</v>
      </c>
      <c r="F8" s="4">
        <v>130005.0461</v>
      </c>
    </row>
    <row r="9" spans="1:6">
      <c r="A9" s="2">
        <v>42948</v>
      </c>
      <c r="B9">
        <v>118116.139619762</v>
      </c>
      <c r="C9">
        <v>1.29108970686483</v>
      </c>
      <c r="D9">
        <v>1.05493543451322</v>
      </c>
      <c r="E9" s="4">
        <f t="shared" si="0"/>
        <v>160876.1052</v>
      </c>
      <c r="F9" s="4">
        <v>160876.1052</v>
      </c>
    </row>
    <row r="10" spans="1:6">
      <c r="A10" s="2">
        <v>42979</v>
      </c>
      <c r="B10">
        <v>117783.033098841</v>
      </c>
      <c r="C10">
        <v>1.21293572989017</v>
      </c>
      <c r="D10">
        <v>0.942290645317046</v>
      </c>
      <c r="E10" s="4">
        <f t="shared" si="0"/>
        <v>134618.7033</v>
      </c>
      <c r="F10" s="4">
        <v>134618.7033</v>
      </c>
    </row>
    <row r="11" spans="1:6">
      <c r="A11" s="2">
        <v>43009</v>
      </c>
      <c r="B11">
        <v>117550.223546734</v>
      </c>
      <c r="C11">
        <v>0.915946880231798</v>
      </c>
      <c r="D11">
        <v>1.0349080991114</v>
      </c>
      <c r="E11" s="4">
        <f t="shared" si="0"/>
        <v>111428.3072</v>
      </c>
      <c r="F11" s="4">
        <v>111428.3072</v>
      </c>
    </row>
    <row r="12" spans="1:6">
      <c r="A12" s="2">
        <v>43040</v>
      </c>
      <c r="B12">
        <v>117348.052920354</v>
      </c>
      <c r="C12">
        <v>0.886487976639129</v>
      </c>
      <c r="D12">
        <v>1.00133330917404</v>
      </c>
      <c r="E12" s="4">
        <f t="shared" si="0"/>
        <v>104166.339</v>
      </c>
      <c r="F12" s="4">
        <v>104166.339</v>
      </c>
    </row>
    <row r="13" spans="1:6">
      <c r="A13" s="2">
        <v>43070</v>
      </c>
      <c r="B13">
        <v>117333.957433864</v>
      </c>
      <c r="C13">
        <v>0.977407991459675</v>
      </c>
      <c r="D13">
        <v>0.965664674840149</v>
      </c>
      <c r="E13" s="4">
        <f t="shared" si="0"/>
        <v>110745.4645</v>
      </c>
      <c r="F13" s="4">
        <v>110745.4645</v>
      </c>
    </row>
    <row r="14" spans="1:6">
      <c r="A14" s="2">
        <v>43101</v>
      </c>
      <c r="B14">
        <v>118028.028026295</v>
      </c>
      <c r="C14">
        <v>1.13635595346615</v>
      </c>
      <c r="D14">
        <v>1.01251426704428</v>
      </c>
      <c r="E14" s="4">
        <f t="shared" si="0"/>
        <v>135800.289</v>
      </c>
      <c r="F14" s="4">
        <v>135800.289</v>
      </c>
    </row>
    <row r="15" spans="1:6">
      <c r="A15" s="2">
        <v>43132</v>
      </c>
      <c r="B15">
        <v>119342.973911764</v>
      </c>
      <c r="C15">
        <v>0.943687418814452</v>
      </c>
      <c r="D15">
        <v>1.20527981788728</v>
      </c>
      <c r="E15" s="4">
        <f t="shared" si="0"/>
        <v>135741.5817</v>
      </c>
      <c r="F15" s="4">
        <v>135741.5817</v>
      </c>
    </row>
    <row r="16" spans="1:6">
      <c r="A16" s="2">
        <v>43160</v>
      </c>
      <c r="B16">
        <v>120887.342048779</v>
      </c>
      <c r="C16">
        <v>0.790764569610936</v>
      </c>
      <c r="D16">
        <v>0.979269445937164</v>
      </c>
      <c r="E16" s="4">
        <f t="shared" si="0"/>
        <v>93611.7223000004</v>
      </c>
      <c r="F16" s="4">
        <v>93611.7223</v>
      </c>
    </row>
    <row r="17" spans="1:6">
      <c r="A17" s="2">
        <v>43191</v>
      </c>
      <c r="B17">
        <v>122313.884024867</v>
      </c>
      <c r="C17">
        <v>0.867675880605185</v>
      </c>
      <c r="D17">
        <v>0.994849368924363</v>
      </c>
      <c r="E17" s="4">
        <f t="shared" si="0"/>
        <v>105582.1767</v>
      </c>
      <c r="F17" s="4">
        <v>105582.1767</v>
      </c>
    </row>
    <row r="18" spans="1:6">
      <c r="A18" s="2">
        <v>43221</v>
      </c>
      <c r="B18">
        <v>123560.548899201</v>
      </c>
      <c r="C18">
        <v>0.85970983020234</v>
      </c>
      <c r="D18">
        <v>1.01737176576534</v>
      </c>
      <c r="E18" s="4">
        <f t="shared" si="0"/>
        <v>108071.5555</v>
      </c>
      <c r="F18" s="4">
        <v>108071.5555</v>
      </c>
    </row>
    <row r="19" spans="1:6">
      <c r="A19" s="2">
        <v>43252</v>
      </c>
      <c r="B19">
        <v>124213.388965159</v>
      </c>
      <c r="C19">
        <v>1.00501253289204</v>
      </c>
      <c r="D19">
        <v>1.01872169646535</v>
      </c>
      <c r="E19" s="4">
        <f t="shared" si="0"/>
        <v>127173.154599999</v>
      </c>
      <c r="F19" s="4">
        <v>127173.1546</v>
      </c>
    </row>
    <row r="20" spans="1:6">
      <c r="A20" s="2">
        <v>43282</v>
      </c>
      <c r="B20">
        <v>124310.593749801</v>
      </c>
      <c r="C20">
        <v>1.11724409753646</v>
      </c>
      <c r="D20">
        <v>0.980519682977481</v>
      </c>
      <c r="E20" s="4">
        <f t="shared" si="0"/>
        <v>136179.7479</v>
      </c>
      <c r="F20" s="4">
        <v>136179.7479</v>
      </c>
    </row>
    <row r="21" spans="1:6">
      <c r="A21" s="2">
        <v>43313</v>
      </c>
      <c r="B21">
        <v>124211.117203467</v>
      </c>
      <c r="C21">
        <v>1.29569316438538</v>
      </c>
      <c r="D21">
        <v>1.00335848137906</v>
      </c>
      <c r="E21" s="4">
        <f t="shared" si="0"/>
        <v>161480.0078</v>
      </c>
      <c r="F21" s="4">
        <v>161480.0078</v>
      </c>
    </row>
    <row r="22" spans="1:6">
      <c r="A22" s="2">
        <v>43344</v>
      </c>
      <c r="B22">
        <v>124267.397014945</v>
      </c>
      <c r="C22">
        <v>1.20509843140843</v>
      </c>
      <c r="D22">
        <v>1.14797395663171</v>
      </c>
      <c r="E22" s="4">
        <f t="shared" si="0"/>
        <v>171914.203000001</v>
      </c>
      <c r="F22" s="4">
        <v>171914.203</v>
      </c>
    </row>
    <row r="23" spans="1:6">
      <c r="A23" s="2">
        <v>43374</v>
      </c>
      <c r="B23">
        <v>125440.323457014</v>
      </c>
      <c r="C23">
        <v>0.91974499857781</v>
      </c>
      <c r="D23">
        <v>0.99035208361448</v>
      </c>
      <c r="E23" s="4">
        <f t="shared" si="0"/>
        <v>114260</v>
      </c>
      <c r="F23" s="4">
        <v>114260</v>
      </c>
    </row>
    <row r="24" spans="1:6">
      <c r="A24" s="2">
        <v>43405</v>
      </c>
      <c r="B24">
        <v>128303.601773795</v>
      </c>
      <c r="C24">
        <v>0.886475865033425</v>
      </c>
      <c r="D24">
        <v>0.981518529318651</v>
      </c>
      <c r="E24" s="4">
        <f t="shared" si="0"/>
        <v>111636</v>
      </c>
      <c r="F24" s="4">
        <v>111636</v>
      </c>
    </row>
    <row r="25" spans="1:6">
      <c r="A25" s="2">
        <v>43435</v>
      </c>
      <c r="B25">
        <v>132615.36391437</v>
      </c>
      <c r="C25">
        <v>0.977036821977542</v>
      </c>
      <c r="D25">
        <v>0.971798324753621</v>
      </c>
      <c r="E25" s="4">
        <f t="shared" si="0"/>
        <v>125916</v>
      </c>
      <c r="F25" s="4">
        <v>125916</v>
      </c>
    </row>
    <row r="26" spans="1:6">
      <c r="A26" s="2">
        <v>43466</v>
      </c>
      <c r="B26">
        <v>137299.89210043</v>
      </c>
      <c r="C26">
        <v>1.13807694597863</v>
      </c>
      <c r="D26">
        <v>1.00884973194603</v>
      </c>
      <c r="E26" s="4">
        <f t="shared" si="0"/>
        <v>157640.681899999</v>
      </c>
      <c r="F26" s="4">
        <v>157640.6819</v>
      </c>
    </row>
    <row r="27" spans="1:6">
      <c r="A27" s="2">
        <v>43497</v>
      </c>
      <c r="B27">
        <v>140975.018599415</v>
      </c>
      <c r="C27">
        <v>0.940797116222248</v>
      </c>
      <c r="D27">
        <v>1.00488326742096</v>
      </c>
      <c r="E27" s="4">
        <f t="shared" si="0"/>
        <v>133276.553299999</v>
      </c>
      <c r="F27" s="4">
        <v>133276.5533</v>
      </c>
    </row>
    <row r="28" spans="1:6">
      <c r="A28" s="2">
        <v>43525</v>
      </c>
      <c r="B28">
        <v>142240.498740463</v>
      </c>
      <c r="C28">
        <v>0.778709906133226</v>
      </c>
      <c r="D28">
        <v>1.056506021366</v>
      </c>
      <c r="E28" s="4">
        <f t="shared" si="0"/>
        <v>117022.9232</v>
      </c>
      <c r="F28" s="4">
        <v>117022.9232</v>
      </c>
    </row>
    <row r="29" spans="1:6">
      <c r="A29" s="2">
        <v>43556</v>
      </c>
      <c r="B29">
        <v>140990.170059723</v>
      </c>
      <c r="C29">
        <v>0.857416598154797</v>
      </c>
      <c r="D29">
        <v>0.997035825513961</v>
      </c>
      <c r="E29" s="4">
        <f t="shared" si="0"/>
        <v>120528.9809</v>
      </c>
      <c r="F29" s="4">
        <v>120528.9809</v>
      </c>
    </row>
    <row r="30" spans="1:6">
      <c r="A30" s="2">
        <v>43586</v>
      </c>
      <c r="B30">
        <v>138152.035593192</v>
      </c>
      <c r="C30">
        <v>0.859148196586633</v>
      </c>
      <c r="D30">
        <v>1.01092426744818</v>
      </c>
      <c r="E30" s="4">
        <f t="shared" si="0"/>
        <v>119989.707100001</v>
      </c>
      <c r="F30" s="4">
        <v>119989.7071</v>
      </c>
    </row>
    <row r="31" spans="1:6">
      <c r="A31" s="2">
        <v>43617</v>
      </c>
      <c r="B31">
        <v>135257.35103785</v>
      </c>
      <c r="C31">
        <v>1.01291362229335</v>
      </c>
      <c r="D31">
        <v>0.968159775222037</v>
      </c>
      <c r="E31" s="4">
        <f t="shared" si="0"/>
        <v>132641.7748</v>
      </c>
      <c r="F31" s="4">
        <v>132641.7748</v>
      </c>
    </row>
    <row r="32" spans="1:6">
      <c r="A32" s="2">
        <v>43647</v>
      </c>
      <c r="B32">
        <v>133818.593330481</v>
      </c>
      <c r="C32">
        <v>1.14442070846966</v>
      </c>
      <c r="D32">
        <v>0.966205491663588</v>
      </c>
      <c r="E32" s="4">
        <f t="shared" si="0"/>
        <v>147969.3172</v>
      </c>
      <c r="F32" s="4">
        <v>147969.3172</v>
      </c>
    </row>
    <row r="33" spans="1:6">
      <c r="A33" s="2">
        <v>43678</v>
      </c>
      <c r="B33">
        <v>134699.947563654</v>
      </c>
      <c r="C33">
        <v>1.29956450024231</v>
      </c>
      <c r="D33">
        <v>0.962451953437464</v>
      </c>
      <c r="E33" s="4">
        <f t="shared" si="0"/>
        <v>168478.436799999</v>
      </c>
      <c r="F33" s="4">
        <v>168478.4368</v>
      </c>
    </row>
    <row r="34" spans="1:6">
      <c r="A34" s="2">
        <v>43709</v>
      </c>
      <c r="B34">
        <v>137031.371390322</v>
      </c>
      <c r="C34">
        <v>1.19351596999655</v>
      </c>
      <c r="D34">
        <v>1.06587561147882</v>
      </c>
      <c r="E34" s="4">
        <f t="shared" si="0"/>
        <v>174323.029100001</v>
      </c>
      <c r="F34" s="4">
        <v>174323.0291</v>
      </c>
    </row>
    <row r="35" spans="1:6">
      <c r="A35" s="2">
        <v>43739</v>
      </c>
      <c r="B35">
        <v>139141.735330065</v>
      </c>
      <c r="C35">
        <v>0.916735307819382</v>
      </c>
      <c r="D35">
        <v>0.976169891696659</v>
      </c>
      <c r="E35" s="4">
        <f t="shared" si="0"/>
        <v>124516.464900001</v>
      </c>
      <c r="F35" s="4">
        <v>124516.4649</v>
      </c>
    </row>
    <row r="36" spans="1:6">
      <c r="A36" s="2">
        <v>43770</v>
      </c>
      <c r="B36">
        <v>139315.339221628</v>
      </c>
      <c r="C36">
        <v>0.885651911673391</v>
      </c>
      <c r="D36">
        <v>1.01086441882991</v>
      </c>
      <c r="E36" s="4">
        <f t="shared" si="0"/>
        <v>124725.4017</v>
      </c>
      <c r="F36" s="4">
        <v>124725.4017</v>
      </c>
    </row>
    <row r="37" spans="1:6">
      <c r="A37" s="2">
        <v>43800</v>
      </c>
      <c r="B37">
        <v>137181.978879275</v>
      </c>
      <c r="C37">
        <v>0.978183654088867</v>
      </c>
      <c r="D37">
        <v>1.04501843295441</v>
      </c>
      <c r="E37" s="4">
        <f t="shared" si="0"/>
        <v>140230.1555</v>
      </c>
      <c r="F37" s="4">
        <v>140230.1555</v>
      </c>
    </row>
    <row r="38" spans="1:6">
      <c r="A38" s="2">
        <v>43831</v>
      </c>
      <c r="B38">
        <v>133801.30209394</v>
      </c>
      <c r="C38">
        <v>1.13198621351099</v>
      </c>
      <c r="D38">
        <v>1.02625121886101</v>
      </c>
      <c r="E38" s="4">
        <f t="shared" si="0"/>
        <v>155437.2712</v>
      </c>
      <c r="F38" s="4">
        <v>155437.2712</v>
      </c>
    </row>
    <row r="39" spans="1:6">
      <c r="A39" s="2">
        <v>43862</v>
      </c>
      <c r="B39">
        <v>131123.002466411</v>
      </c>
      <c r="C39">
        <v>0.940107853957137</v>
      </c>
      <c r="D39">
        <v>0.880514344953454</v>
      </c>
      <c r="E39" s="4">
        <f t="shared" si="0"/>
        <v>108540.7959</v>
      </c>
      <c r="F39" s="4">
        <v>108540.7959</v>
      </c>
    </row>
    <row r="40" spans="1:6">
      <c r="A40" s="2">
        <v>43891</v>
      </c>
      <c r="B40">
        <v>130219.883988306</v>
      </c>
      <c r="C40">
        <v>0.768824875368168</v>
      </c>
      <c r="D40">
        <v>0.769099142772732</v>
      </c>
      <c r="E40" s="4">
        <f t="shared" si="0"/>
        <v>76999.3497999999</v>
      </c>
      <c r="F40" s="4">
        <v>76999.3498</v>
      </c>
    </row>
    <row r="41" spans="1:6">
      <c r="A41" s="2">
        <v>43922</v>
      </c>
      <c r="B41">
        <v>131647.580267026</v>
      </c>
      <c r="C41">
        <v>0.84937858401831</v>
      </c>
      <c r="D41">
        <v>0.973264323892184</v>
      </c>
      <c r="E41" s="4">
        <f t="shared" si="0"/>
        <v>108829.0885</v>
      </c>
      <c r="F41" s="4">
        <v>108829.0885</v>
      </c>
    </row>
    <row r="42" spans="1:6">
      <c r="A42" s="2">
        <v>43952</v>
      </c>
      <c r="B42">
        <v>134952.533780893</v>
      </c>
      <c r="C42">
        <v>0.858770523198188</v>
      </c>
      <c r="D42">
        <v>1.02147921889607</v>
      </c>
      <c r="E42" s="4">
        <f t="shared" si="0"/>
        <v>118382.5547</v>
      </c>
      <c r="F42" s="4">
        <v>118382.5547</v>
      </c>
    </row>
    <row r="43" spans="1:6">
      <c r="A43" s="2">
        <v>43983</v>
      </c>
      <c r="B43">
        <v>139437.37541854</v>
      </c>
      <c r="C43">
        <v>1.01881777374365</v>
      </c>
      <c r="D43">
        <v>1.04739492400758</v>
      </c>
      <c r="E43" s="4">
        <f t="shared" si="0"/>
        <v>148794.259799999</v>
      </c>
      <c r="F43" s="4">
        <v>148794.2598</v>
      </c>
    </row>
    <row r="44" spans="1:6">
      <c r="A44" s="2">
        <v>44013</v>
      </c>
      <c r="B44">
        <v>143693.519286398</v>
      </c>
      <c r="C44">
        <v>1.18273382610211</v>
      </c>
      <c r="D44">
        <v>0.989179308502832</v>
      </c>
      <c r="E44" s="4">
        <f t="shared" si="0"/>
        <v>168112.1965</v>
      </c>
      <c r="F44" s="4">
        <v>168112.1965</v>
      </c>
    </row>
    <row r="45" spans="1:6">
      <c r="A45" s="2">
        <v>44044</v>
      </c>
      <c r="B45">
        <v>146811.163209327</v>
      </c>
      <c r="C45">
        <v>1.3063446991424</v>
      </c>
      <c r="D45">
        <v>0.957244376117704</v>
      </c>
      <c r="E45" s="4">
        <f t="shared" si="0"/>
        <v>183586.0554</v>
      </c>
      <c r="F45" s="4">
        <v>183586.0554</v>
      </c>
    </row>
    <row r="46" spans="1:6">
      <c r="A46" s="2">
        <v>44075</v>
      </c>
      <c r="B46">
        <v>149568.531349365</v>
      </c>
      <c r="C46">
        <v>1.17085714178492</v>
      </c>
      <c r="D46">
        <v>1.05178450200034</v>
      </c>
      <c r="E46" s="4">
        <f t="shared" si="0"/>
        <v>184192.060299998</v>
      </c>
      <c r="F46" s="4">
        <v>184192.0603</v>
      </c>
    </row>
    <row r="47" spans="1:6">
      <c r="A47" s="2">
        <v>44105</v>
      </c>
      <c r="B47">
        <v>152394.733837657</v>
      </c>
      <c r="C47">
        <v>0.911561919085954</v>
      </c>
      <c r="D47">
        <v>0.983062161307008</v>
      </c>
      <c r="E47" s="4">
        <f t="shared" si="0"/>
        <v>136564.2783</v>
      </c>
      <c r="F47" s="4">
        <v>136564.2783</v>
      </c>
    </row>
    <row r="48" spans="1:6">
      <c r="A48" s="2">
        <v>44136</v>
      </c>
      <c r="B48">
        <v>155313.710647701</v>
      </c>
      <c r="C48">
        <v>0.885430476939059</v>
      </c>
      <c r="D48">
        <v>0.985208704954018</v>
      </c>
      <c r="E48" s="4">
        <f t="shared" si="0"/>
        <v>135485.4015</v>
      </c>
      <c r="F48" s="4">
        <v>135485.4015</v>
      </c>
    </row>
    <row r="49" spans="1:6">
      <c r="A49" s="2">
        <v>44166</v>
      </c>
      <c r="B49">
        <v>158091.798378105</v>
      </c>
      <c r="C49">
        <v>0.983686104897169</v>
      </c>
      <c r="D49">
        <v>0.98511553022406</v>
      </c>
      <c r="E49" s="4">
        <f t="shared" si="0"/>
        <v>153197.9812</v>
      </c>
      <c r="F49" s="4">
        <v>153197.9812</v>
      </c>
    </row>
    <row r="50" spans="1:6">
      <c r="A50" s="2">
        <v>44197</v>
      </c>
      <c r="B50">
        <v>159879.11486422</v>
      </c>
      <c r="C50">
        <v>1.12236386819588</v>
      </c>
      <c r="D50">
        <v>1.01670996780996</v>
      </c>
      <c r="E50" s="4">
        <f t="shared" si="0"/>
        <v>182441.020900001</v>
      </c>
      <c r="F50" s="5">
        <v>182441.0209</v>
      </c>
    </row>
    <row r="51" spans="1:6">
      <c r="A51" s="2">
        <v>44228</v>
      </c>
      <c r="B51">
        <v>160298.956458</v>
      </c>
      <c r="C51">
        <v>0.934788053176677</v>
      </c>
      <c r="D51">
        <v>1.06582874435482</v>
      </c>
      <c r="E51" s="4">
        <f t="shared" si="0"/>
        <v>159709.6938</v>
      </c>
      <c r="F51" s="5">
        <v>159709.6938</v>
      </c>
    </row>
    <row r="52" spans="1:6">
      <c r="A52" s="2">
        <v>44256</v>
      </c>
      <c r="B52">
        <v>160501.249078828</v>
      </c>
      <c r="C52">
        <v>0.760227330999009</v>
      </c>
      <c r="D52">
        <v>0.929692450720766</v>
      </c>
      <c r="E52" s="4">
        <f t="shared" si="0"/>
        <v>113438.6893</v>
      </c>
      <c r="F52" s="5">
        <v>113438.6893</v>
      </c>
    </row>
    <row r="53" spans="1:6">
      <c r="A53" s="2">
        <v>44287</v>
      </c>
      <c r="B53">
        <v>160830.879325427</v>
      </c>
      <c r="C53">
        <v>0.840326354778212</v>
      </c>
      <c r="D53">
        <v>1.03423055375012</v>
      </c>
      <c r="E53" s="4">
        <f t="shared" si="0"/>
        <v>139776.700500001</v>
      </c>
      <c r="F53" s="5">
        <v>139776.7005</v>
      </c>
    </row>
    <row r="54" spans="1:6">
      <c r="A54" s="2">
        <v>44317</v>
      </c>
      <c r="B54">
        <v>161925.200181672</v>
      </c>
      <c r="C54">
        <v>0.860001734402365</v>
      </c>
      <c r="D54">
        <v>0.97847959289974</v>
      </c>
      <c r="E54" s="4">
        <f t="shared" si="0"/>
        <v>136259.1082</v>
      </c>
      <c r="F54" s="5">
        <v>136259.1082</v>
      </c>
    </row>
    <row r="55" spans="1:6">
      <c r="A55" s="2">
        <v>44348</v>
      </c>
      <c r="B55">
        <v>164634.900926896</v>
      </c>
      <c r="C55">
        <v>1.03143240274906</v>
      </c>
      <c r="D55">
        <v>0.959943641159598</v>
      </c>
      <c r="E55" s="4">
        <f t="shared" si="0"/>
        <v>163007.810299999</v>
      </c>
      <c r="F55" s="5">
        <v>163007.8103</v>
      </c>
    </row>
    <row r="56" spans="1:6">
      <c r="A56" s="2">
        <v>44378</v>
      </c>
      <c r="B56">
        <v>168707.526852977</v>
      </c>
      <c r="C56">
        <v>1.2241152673414</v>
      </c>
      <c r="D56">
        <v>1.18380147511925</v>
      </c>
      <c r="E56" s="4">
        <f t="shared" si="0"/>
        <v>244475.673</v>
      </c>
      <c r="F56" s="5">
        <v>244475.673</v>
      </c>
    </row>
    <row r="57" spans="1:6">
      <c r="A57" s="2">
        <v>44409</v>
      </c>
      <c r="B57">
        <v>172861.526989086</v>
      </c>
      <c r="C57">
        <v>1.31194715580041</v>
      </c>
      <c r="D57">
        <v>1.05271203948061</v>
      </c>
      <c r="E57" s="4">
        <f t="shared" si="0"/>
        <v>238739.498499999</v>
      </c>
      <c r="F57" s="5">
        <v>238739.4985</v>
      </c>
    </row>
    <row r="58" customFormat="1" spans="1:6">
      <c r="A58" s="2">
        <v>44440</v>
      </c>
      <c r="B58" s="14">
        <v>175440.518073212</v>
      </c>
      <c r="C58" s="15">
        <v>1.14697430527531</v>
      </c>
      <c r="D58" s="14">
        <v>0.89518172539029</v>
      </c>
      <c r="E58" s="4">
        <f t="shared" si="0"/>
        <v>180133.628699999</v>
      </c>
      <c r="F58" s="5">
        <v>180133.6287</v>
      </c>
    </row>
    <row r="59" customFormat="1" spans="1:6">
      <c r="A59" s="2">
        <v>44470</v>
      </c>
      <c r="B59" s="14">
        <v>176161.33844099</v>
      </c>
      <c r="C59" s="15">
        <v>0.901479107893037</v>
      </c>
      <c r="D59" s="14">
        <v>1.09334803344706</v>
      </c>
      <c r="E59" s="4">
        <f t="shared" si="0"/>
        <v>173629.9722</v>
      </c>
      <c r="F59" s="5">
        <v>173629.9722</v>
      </c>
    </row>
    <row r="60" customFormat="1" spans="1:6">
      <c r="A60" s="2">
        <v>44501</v>
      </c>
      <c r="B60" s="14">
        <v>175783.413518778</v>
      </c>
      <c r="C60" s="15">
        <v>0.882972722964115</v>
      </c>
      <c r="D60" s="14">
        <v>0.996029702289471</v>
      </c>
      <c r="E60" s="4">
        <f t="shared" si="0"/>
        <v>154595.7216</v>
      </c>
      <c r="F60" s="5">
        <v>154595.7216</v>
      </c>
    </row>
    <row r="61" customFormat="1" spans="1:6">
      <c r="A61" s="2">
        <v>44531</v>
      </c>
      <c r="B61" s="14">
        <v>174634.97422496</v>
      </c>
      <c r="C61" s="15">
        <v>0.986467278090366</v>
      </c>
      <c r="D61" s="14">
        <v>0.982072209167883</v>
      </c>
      <c r="E61" s="4">
        <f t="shared" si="0"/>
        <v>169183.2369</v>
      </c>
      <c r="F61" s="5">
        <v>169183.2369</v>
      </c>
    </row>
    <row r="62" spans="1:6">
      <c r="A62" s="2">
        <v>44562</v>
      </c>
      <c r="B62">
        <v>173881.8132983</v>
      </c>
      <c r="C62">
        <v>1.11020351639621</v>
      </c>
      <c r="D62">
        <v>0.967775968700219</v>
      </c>
      <c r="E62" s="4">
        <f t="shared" si="0"/>
        <v>186823.538199999</v>
      </c>
      <c r="F62" s="5">
        <v>186823.5382</v>
      </c>
    </row>
    <row r="63" spans="1:6">
      <c r="A63" s="2">
        <v>44593</v>
      </c>
      <c r="B63">
        <v>174312.670019774</v>
      </c>
      <c r="C63">
        <v>0.935992890487161</v>
      </c>
      <c r="D63">
        <v>0.993396575723534</v>
      </c>
      <c r="E63" s="4">
        <f t="shared" si="0"/>
        <v>162078.0354</v>
      </c>
      <c r="F63" s="5">
        <v>162078.0354</v>
      </c>
    </row>
    <row r="64" spans="1:6">
      <c r="A64" s="2">
        <v>44621</v>
      </c>
      <c r="B64">
        <v>175879.520875816</v>
      </c>
      <c r="C64">
        <v>0.754769608451017</v>
      </c>
      <c r="D64">
        <v>1.04559945923294</v>
      </c>
      <c r="E64" s="4">
        <f t="shared" si="0"/>
        <v>138801.7777</v>
      </c>
      <c r="F64" s="5">
        <v>138801.7777</v>
      </c>
    </row>
    <row r="65" spans="1:6">
      <c r="A65" s="2">
        <v>44652</v>
      </c>
      <c r="B65">
        <v>177925.75313861</v>
      </c>
      <c r="C65">
        <v>0.839797217932094</v>
      </c>
      <c r="D65">
        <v>0.969950459558035</v>
      </c>
      <c r="E65" s="4">
        <f t="shared" si="0"/>
        <v>144931.5035</v>
      </c>
      <c r="F65" s="5">
        <v>144931.5035</v>
      </c>
    </row>
    <row r="66" spans="1:6">
      <c r="A66" s="2">
        <v>44682</v>
      </c>
      <c r="B66">
        <v>179183.752101441</v>
      </c>
      <c r="C66">
        <v>0.860020501337804</v>
      </c>
      <c r="D66">
        <v>0.981999644986261</v>
      </c>
      <c r="E66" s="4">
        <f t="shared" ref="E66:E97" si="1">B66*C66*D66</f>
        <v>151327.815</v>
      </c>
      <c r="F66" s="5">
        <v>151327.815</v>
      </c>
    </row>
    <row r="67" spans="1:6">
      <c r="A67" s="2">
        <v>44713</v>
      </c>
      <c r="B67">
        <v>178047.654074023</v>
      </c>
      <c r="C67">
        <v>1.03670409706505</v>
      </c>
      <c r="D67">
        <v>1.03064387645323</v>
      </c>
      <c r="E67" s="4">
        <f t="shared" si="1"/>
        <v>190239.062899999</v>
      </c>
      <c r="F67" s="5">
        <v>190239.0629</v>
      </c>
    </row>
    <row r="68" spans="1:6">
      <c r="A68" s="2">
        <v>44743</v>
      </c>
      <c r="B68">
        <v>174878.52285588</v>
      </c>
      <c r="C68">
        <v>1.25671712839436</v>
      </c>
      <c r="D68">
        <v>1.03525242979439</v>
      </c>
      <c r="E68" s="4">
        <f t="shared" si="1"/>
        <v>227520.361500001</v>
      </c>
      <c r="F68" s="5">
        <v>227520.3615</v>
      </c>
    </row>
    <row r="69" spans="1:6">
      <c r="A69" s="2">
        <v>44774</v>
      </c>
      <c r="B69">
        <v>170564.241758705</v>
      </c>
      <c r="C69">
        <v>1.32239148639018</v>
      </c>
      <c r="D69">
        <v>1.06511010082602</v>
      </c>
      <c r="E69" s="4">
        <f t="shared" si="1"/>
        <v>240238.460299999</v>
      </c>
      <c r="F69" s="5">
        <v>240238.4603</v>
      </c>
    </row>
    <row r="70" spans="1:6">
      <c r="A70" s="2">
        <v>44805</v>
      </c>
      <c r="B70">
        <v>166435.617665581</v>
      </c>
      <c r="C70">
        <v>1.11803237226477</v>
      </c>
      <c r="D70">
        <v>0.712831651146478</v>
      </c>
      <c r="E70" s="4">
        <f t="shared" si="1"/>
        <v>132644.0048</v>
      </c>
      <c r="F70" s="5">
        <v>132644.0048</v>
      </c>
    </row>
    <row r="71" spans="1:6">
      <c r="A71" s="2">
        <v>44835</v>
      </c>
      <c r="B71">
        <v>163873.693760215</v>
      </c>
      <c r="C71">
        <v>0.897124761628143</v>
      </c>
      <c r="D71">
        <v>0.955198161406356</v>
      </c>
      <c r="E71" s="4">
        <f t="shared" si="1"/>
        <v>140428.5995</v>
      </c>
      <c r="F71" s="5">
        <v>140428.5995</v>
      </c>
    </row>
    <row r="72" spans="1:6">
      <c r="A72" s="2">
        <v>44866</v>
      </c>
      <c r="B72">
        <v>163955.571808613</v>
      </c>
      <c r="C72">
        <v>0.880578154901713</v>
      </c>
      <c r="D72">
        <v>1.01980277631022</v>
      </c>
      <c r="E72" s="4">
        <f t="shared" si="1"/>
        <v>147234.734500001</v>
      </c>
      <c r="F72" s="5">
        <v>147234.7345</v>
      </c>
    </row>
    <row r="73" spans="1:6">
      <c r="A73" s="2">
        <v>44896</v>
      </c>
      <c r="B73">
        <v>167434.144817436</v>
      </c>
      <c r="C73">
        <v>0.987653577077404</v>
      </c>
      <c r="D73">
        <v>1.00251415770372</v>
      </c>
      <c r="E73" s="4">
        <f t="shared" si="1"/>
        <v>165782.6906</v>
      </c>
      <c r="F73" s="5">
        <v>165782.6906</v>
      </c>
    </row>
    <row r="74" spans="1:6">
      <c r="A74" s="2">
        <v>44927</v>
      </c>
      <c r="B74">
        <v>173292.932337178</v>
      </c>
      <c r="C74">
        <v>1.10356452954599</v>
      </c>
      <c r="D74">
        <v>0.873310095208027</v>
      </c>
      <c r="E74" s="4">
        <f t="shared" si="1"/>
        <v>167011.764400001</v>
      </c>
      <c r="F74" s="5">
        <v>167011.7644</v>
      </c>
    </row>
    <row r="75" spans="1:6">
      <c r="A75" s="2">
        <v>44958</v>
      </c>
      <c r="B75">
        <v>179929.178687189</v>
      </c>
      <c r="C75">
        <v>0.939319265832324</v>
      </c>
      <c r="D75">
        <v>1.00285698406407</v>
      </c>
      <c r="E75" s="4">
        <f t="shared" si="1"/>
        <v>169493.8056</v>
      </c>
      <c r="F75" s="5">
        <v>169493.8056</v>
      </c>
    </row>
    <row r="76" spans="1:6">
      <c r="A76" s="2">
        <v>44986</v>
      </c>
      <c r="B76">
        <v>185768.20788618</v>
      </c>
      <c r="C76">
        <v>0.750375356593594</v>
      </c>
      <c r="D76">
        <v>1.01454099208322</v>
      </c>
      <c r="E76" s="4">
        <f t="shared" si="1"/>
        <v>141422.8397</v>
      </c>
      <c r="F76" s="5">
        <v>141422.8397</v>
      </c>
    </row>
    <row r="77" spans="1:6">
      <c r="A77" s="2">
        <v>45017</v>
      </c>
      <c r="B77">
        <v>189675.065907884</v>
      </c>
      <c r="C77">
        <v>0.840025613797722</v>
      </c>
      <c r="D77">
        <v>1.00353486144529</v>
      </c>
      <c r="E77" s="4">
        <f t="shared" si="1"/>
        <v>159895.1299</v>
      </c>
      <c r="F77" s="5">
        <v>159895.1299</v>
      </c>
    </row>
    <row r="78" spans="1:6">
      <c r="A78" s="2">
        <v>45047</v>
      </c>
      <c r="B78">
        <v>190958.605275838</v>
      </c>
      <c r="C78">
        <v>0.859240257407398</v>
      </c>
      <c r="D78">
        <v>1.0176712478348</v>
      </c>
      <c r="E78" s="4">
        <f t="shared" si="1"/>
        <v>166978.8075</v>
      </c>
      <c r="F78" s="5">
        <v>166978.8075</v>
      </c>
    </row>
    <row r="79" spans="1:6">
      <c r="A79" s="2">
        <v>45078</v>
      </c>
      <c r="B79">
        <v>189440.436037669</v>
      </c>
      <c r="C79">
        <v>1.04041310036803</v>
      </c>
      <c r="D79">
        <v>0.992624226284364</v>
      </c>
      <c r="E79" s="4">
        <f t="shared" si="1"/>
        <v>195642.573600001</v>
      </c>
      <c r="F79" s="5">
        <v>195642.5736</v>
      </c>
    </row>
    <row r="80" spans="1:6">
      <c r="A80" s="2">
        <v>45108</v>
      </c>
      <c r="B80">
        <v>186137.224635779</v>
      </c>
      <c r="C80">
        <v>1.27385607507626</v>
      </c>
      <c r="D80">
        <v>1.02892440494313</v>
      </c>
      <c r="E80" s="4">
        <f t="shared" si="1"/>
        <v>243970.3589</v>
      </c>
      <c r="F80" s="5">
        <v>243970.3589</v>
      </c>
    </row>
    <row r="81" spans="1:6">
      <c r="A81" s="2">
        <v>45139</v>
      </c>
      <c r="B81">
        <v>183033.704290378</v>
      </c>
      <c r="C81">
        <v>1.331763192709</v>
      </c>
      <c r="D81">
        <v>0.980285077975061</v>
      </c>
      <c r="E81" s="4">
        <f t="shared" si="1"/>
        <v>238951.8893</v>
      </c>
      <c r="F81" s="5">
        <v>238951.8893</v>
      </c>
    </row>
    <row r="82" spans="1:6">
      <c r="A82" s="2">
        <v>45170</v>
      </c>
      <c r="B82">
        <v>181422.90145024</v>
      </c>
      <c r="C82">
        <v>1.09871757795524</v>
      </c>
      <c r="D82">
        <v>0.976493880619288</v>
      </c>
      <c r="E82" s="4">
        <f t="shared" si="1"/>
        <v>194646.9966</v>
      </c>
      <c r="F82" s="5">
        <v>194646.9966</v>
      </c>
    </row>
    <row r="83" spans="1:6">
      <c r="A83" s="2">
        <v>45200</v>
      </c>
      <c r="B83">
        <v>181357.379611197</v>
      </c>
      <c r="C83">
        <v>0.895768656273274</v>
      </c>
      <c r="D83">
        <v>0.969948198634055</v>
      </c>
      <c r="E83" s="4">
        <f t="shared" si="1"/>
        <v>157572.2132</v>
      </c>
      <c r="F83" s="5">
        <v>157572.2132</v>
      </c>
    </row>
    <row r="84" spans="1:6">
      <c r="A84" s="2">
        <v>45231</v>
      </c>
      <c r="B84">
        <v>182370.442981072</v>
      </c>
      <c r="C84">
        <v>0.878160846817455</v>
      </c>
      <c r="D84">
        <v>1.00421230660629</v>
      </c>
      <c r="E84" s="4">
        <f t="shared" si="1"/>
        <v>160825.186</v>
      </c>
      <c r="F84" s="5">
        <v>160825.186</v>
      </c>
    </row>
    <row r="85" spans="1:6">
      <c r="A85" s="2">
        <v>45261</v>
      </c>
      <c r="B85">
        <v>184293.080081039</v>
      </c>
      <c r="C85">
        <v>0.98449545177186</v>
      </c>
      <c r="D85">
        <v>1.0532210083977</v>
      </c>
      <c r="E85" s="4">
        <f t="shared" si="1"/>
        <v>191091.89</v>
      </c>
      <c r="F85" s="5">
        <v>191091.89</v>
      </c>
    </row>
    <row r="86" spans="1:8">
      <c r="A86" s="3" t="s">
        <v>7</v>
      </c>
      <c r="B86" s="6">
        <v>182058.714252351</v>
      </c>
      <c r="C86">
        <v>1.10356452954599</v>
      </c>
      <c r="D86" s="6">
        <v>1.01211972033092</v>
      </c>
      <c r="E86" s="4">
        <f t="shared" si="1"/>
        <v>203348.555251184</v>
      </c>
      <c r="F86" s="5">
        <v>200678.3641</v>
      </c>
      <c r="H86" s="16">
        <f t="shared" ref="H86:H93" si="2">ABS((E86-F86))/F86</f>
        <v>0.0133058247866383</v>
      </c>
    </row>
    <row r="87" spans="1:8">
      <c r="A87" s="3" t="s">
        <v>8</v>
      </c>
      <c r="B87" s="6">
        <v>183400.112956293</v>
      </c>
      <c r="C87">
        <v>0.939319265832324</v>
      </c>
      <c r="D87" s="6">
        <v>1.00557101629489</v>
      </c>
      <c r="E87" s="4">
        <f t="shared" si="1"/>
        <v>173230.985449239</v>
      </c>
      <c r="F87" s="5">
        <v>152027.6848</v>
      </c>
      <c r="H87" s="16">
        <f t="shared" si="2"/>
        <v>0.139469996383443</v>
      </c>
    </row>
    <row r="88" spans="1:8">
      <c r="A88" s="3" t="s">
        <v>9</v>
      </c>
      <c r="B88" s="6">
        <v>183457.937720771</v>
      </c>
      <c r="C88">
        <v>0.750375356593594</v>
      </c>
      <c r="D88" s="6">
        <v>0.998002826433229</v>
      </c>
      <c r="E88" s="4">
        <f t="shared" si="1"/>
        <v>137387.379899617</v>
      </c>
      <c r="F88" s="5">
        <v>170586.4219</v>
      </c>
      <c r="H88" s="16">
        <f t="shared" si="2"/>
        <v>0.194617142622549</v>
      </c>
    </row>
    <row r="89" spans="1:8">
      <c r="A89" s="3" t="s">
        <v>10</v>
      </c>
      <c r="B89" s="6">
        <v>184136.418260804</v>
      </c>
      <c r="C89">
        <v>0.840025613797722</v>
      </c>
      <c r="D89" s="6">
        <v>0.992706117112354</v>
      </c>
      <c r="E89" s="4">
        <f t="shared" si="1"/>
        <v>153551.095016015</v>
      </c>
      <c r="F89" s="5">
        <v>162294.7271</v>
      </c>
      <c r="H89" s="16">
        <f t="shared" si="2"/>
        <v>0.0538750225606405</v>
      </c>
    </row>
    <row r="90" spans="1:8">
      <c r="A90" s="3" t="s">
        <v>11</v>
      </c>
      <c r="B90" s="6">
        <v>184913.493551238</v>
      </c>
      <c r="C90">
        <v>0.859240257407398</v>
      </c>
      <c r="D90" s="6">
        <v>1.00264306798433</v>
      </c>
      <c r="E90" s="4">
        <f t="shared" si="1"/>
        <v>159305.061965103</v>
      </c>
      <c r="F90" s="5">
        <v>190320.9286</v>
      </c>
      <c r="H90" s="16">
        <f t="shared" si="2"/>
        <v>0.162966137581661</v>
      </c>
    </row>
    <row r="91" spans="1:8">
      <c r="A91" s="3" t="s">
        <v>12</v>
      </c>
      <c r="B91" s="6">
        <v>184449.216482682</v>
      </c>
      <c r="C91">
        <v>1.04041310036803</v>
      </c>
      <c r="D91" s="6">
        <v>1.00315918233705</v>
      </c>
      <c r="E91" s="4">
        <f t="shared" si="1"/>
        <v>192509.638953449</v>
      </c>
      <c r="F91" s="5">
        <v>202813.7474</v>
      </c>
      <c r="H91" s="16">
        <f t="shared" si="2"/>
        <v>0.0508057692274121</v>
      </c>
    </row>
    <row r="92" spans="1:8">
      <c r="A92" s="3" t="s">
        <v>13</v>
      </c>
      <c r="B92" s="6">
        <v>184856.484944339</v>
      </c>
      <c r="C92">
        <v>1.27385607507626</v>
      </c>
      <c r="D92" s="6">
        <v>0.992875379749243</v>
      </c>
      <c r="E92" s="4">
        <f t="shared" si="1"/>
        <v>233802.846823062</v>
      </c>
      <c r="F92" s="5">
        <v>240454.3384</v>
      </c>
      <c r="H92" s="16">
        <f t="shared" si="2"/>
        <v>0.0276621816066935</v>
      </c>
    </row>
    <row r="93" spans="1:8">
      <c r="A93" s="3" t="s">
        <v>14</v>
      </c>
      <c r="B93" s="6">
        <v>185185.571339617</v>
      </c>
      <c r="C93">
        <v>1.331763192709</v>
      </c>
      <c r="D93" s="6">
        <v>0.980097012315798</v>
      </c>
      <c r="E93" s="4">
        <f t="shared" si="1"/>
        <v>241714.786676424</v>
      </c>
      <c r="F93" s="5">
        <v>280325.3872</v>
      </c>
      <c r="H93" s="16">
        <f t="shared" si="2"/>
        <v>0.137734940489101</v>
      </c>
    </row>
    <row r="94" spans="1:9">
      <c r="A94" s="3" t="s">
        <v>20</v>
      </c>
      <c r="B94" s="6">
        <v>185179.43849838</v>
      </c>
      <c r="C94">
        <v>1.09871757795524</v>
      </c>
      <c r="D94" s="6">
        <v>0.992178193189183</v>
      </c>
      <c r="E94" s="4">
        <f t="shared" si="1"/>
        <v>201868.480090011</v>
      </c>
      <c r="H94">
        <f>(SUM(H86:H93))/8</f>
        <v>0.0975546269072673</v>
      </c>
      <c r="I94" s="16"/>
    </row>
    <row r="95" spans="1:5">
      <c r="A95" s="3" t="s">
        <v>21</v>
      </c>
      <c r="B95" s="6">
        <v>184831.434736359</v>
      </c>
      <c r="C95">
        <v>0.895768656273274</v>
      </c>
      <c r="D95" s="6">
        <v>0.984221950255207</v>
      </c>
      <c r="E95" s="4">
        <f t="shared" si="1"/>
        <v>162953.894097616</v>
      </c>
    </row>
    <row r="96" spans="1:5">
      <c r="A96" s="3" t="s">
        <v>22</v>
      </c>
      <c r="B96" s="6">
        <v>184969.446982981</v>
      </c>
      <c r="C96">
        <v>0.878160846817455</v>
      </c>
      <c r="D96" s="6">
        <v>0.998692133813763</v>
      </c>
      <c r="E96" s="4">
        <f t="shared" si="1"/>
        <v>162220.485666225</v>
      </c>
    </row>
    <row r="97" spans="1:5">
      <c r="A97" s="3" t="s">
        <v>23</v>
      </c>
      <c r="B97" s="6">
        <v>184878.0839717</v>
      </c>
      <c r="C97">
        <v>0.98449545177186</v>
      </c>
      <c r="D97" s="6">
        <v>1.0005636095027</v>
      </c>
      <c r="E97" s="4">
        <f t="shared" si="1"/>
        <v>182114.216288284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topLeftCell="A71" workbookViewId="0">
      <selection activeCell="H94" sqref="H94"/>
    </sheetView>
  </sheetViews>
  <sheetFormatPr defaultColWidth="8.88888888888889" defaultRowHeight="13.8"/>
  <cols>
    <col min="1" max="1" width="12.25" style="2" customWidth="1"/>
    <col min="2" max="3" width="14.1111111111111" customWidth="1"/>
    <col min="4" max="6" width="11.8888888888889" customWidth="1"/>
    <col min="7" max="7" width="9.66666666666667"/>
  </cols>
  <sheetData>
    <row r="1" spans="1:6">
      <c r="A1" s="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 s="2">
        <v>42736</v>
      </c>
      <c r="B2">
        <v>2149.70613434744</v>
      </c>
      <c r="C2">
        <v>0.877377337795033</v>
      </c>
      <c r="D2">
        <v>1.01044691098719</v>
      </c>
      <c r="E2" s="4">
        <f t="shared" ref="E2:E65" si="0">B2*C2*D2</f>
        <v>1905.8074</v>
      </c>
      <c r="F2" s="13">
        <v>1905.8074</v>
      </c>
    </row>
    <row r="3" spans="1:6">
      <c r="A3" s="2">
        <v>42767</v>
      </c>
      <c r="B3">
        <v>2181.11535723737</v>
      </c>
      <c r="C3">
        <v>0.85927243850068</v>
      </c>
      <c r="D3">
        <v>0.992256628926641</v>
      </c>
      <c r="E3" s="4">
        <f t="shared" si="0"/>
        <v>1859.6599</v>
      </c>
      <c r="F3" s="4">
        <v>1859.6599</v>
      </c>
    </row>
    <row r="4" spans="1:6">
      <c r="A4" s="2">
        <v>42795</v>
      </c>
      <c r="B4">
        <v>2223.93953750924</v>
      </c>
      <c r="C4">
        <v>0.800333249675962</v>
      </c>
      <c r="D4">
        <v>1.0410804204743</v>
      </c>
      <c r="E4" s="4">
        <f t="shared" si="0"/>
        <v>1853.0115</v>
      </c>
      <c r="F4" s="4">
        <v>1853.0115</v>
      </c>
    </row>
    <row r="5" spans="1:6">
      <c r="A5" s="2">
        <v>42826</v>
      </c>
      <c r="B5">
        <v>2278.36370537071</v>
      </c>
      <c r="C5">
        <v>0.926100038049465</v>
      </c>
      <c r="D5">
        <v>0.949602662835295</v>
      </c>
      <c r="E5" s="4">
        <f t="shared" si="0"/>
        <v>2003.6547</v>
      </c>
      <c r="F5" s="4">
        <v>2003.6547</v>
      </c>
    </row>
    <row r="6" spans="1:6">
      <c r="A6" s="2">
        <v>42856</v>
      </c>
      <c r="B6">
        <v>2342.14110427523</v>
      </c>
      <c r="C6">
        <v>1.0466539313968</v>
      </c>
      <c r="D6">
        <v>0.908571521920717</v>
      </c>
      <c r="E6" s="4">
        <f t="shared" si="0"/>
        <v>2227.28239999999</v>
      </c>
      <c r="F6" s="4">
        <v>2227.2824</v>
      </c>
    </row>
    <row r="7" spans="1:6">
      <c r="A7" s="2">
        <v>42887</v>
      </c>
      <c r="B7">
        <v>2402.78959839438</v>
      </c>
      <c r="C7">
        <v>1.32140762914103</v>
      </c>
      <c r="D7">
        <v>1.04561003191044</v>
      </c>
      <c r="E7" s="4">
        <f t="shared" si="0"/>
        <v>3319.8793</v>
      </c>
      <c r="F7" s="4">
        <v>3319.8793</v>
      </c>
    </row>
    <row r="8" spans="1:6">
      <c r="A8" s="2">
        <v>42917</v>
      </c>
      <c r="B8">
        <v>2447.66779423355</v>
      </c>
      <c r="C8">
        <v>1.12745792054854</v>
      </c>
      <c r="D8">
        <v>1.04065083100391</v>
      </c>
      <c r="E8" s="4">
        <f t="shared" si="0"/>
        <v>2871.82420000002</v>
      </c>
      <c r="F8" s="4">
        <v>2871.8242</v>
      </c>
    </row>
    <row r="9" spans="1:6">
      <c r="A9" s="2">
        <v>42948</v>
      </c>
      <c r="B9">
        <v>2468.00294093378</v>
      </c>
      <c r="C9">
        <v>1.19874296666078</v>
      </c>
      <c r="D9">
        <v>1.01541369439498</v>
      </c>
      <c r="E9" s="4">
        <f t="shared" si="0"/>
        <v>3004.10260000002</v>
      </c>
      <c r="F9" s="4">
        <v>3004.1026</v>
      </c>
    </row>
    <row r="10" spans="1:6">
      <c r="A10" s="2">
        <v>42979</v>
      </c>
      <c r="B10">
        <v>2473.35607668563</v>
      </c>
      <c r="C10">
        <v>1.17252329252122</v>
      </c>
      <c r="D10">
        <v>0.914201272514395</v>
      </c>
      <c r="E10" s="4">
        <f t="shared" si="0"/>
        <v>2651.2455</v>
      </c>
      <c r="F10" s="4">
        <v>2651.2455</v>
      </c>
    </row>
    <row r="11" spans="1:6">
      <c r="A11" s="2">
        <v>43009</v>
      </c>
      <c r="B11">
        <v>2477.40565266202</v>
      </c>
      <c r="C11">
        <v>0.96581203769025</v>
      </c>
      <c r="D11">
        <v>0.987914530671264</v>
      </c>
      <c r="E11" s="4">
        <f t="shared" si="0"/>
        <v>2363.79120000001</v>
      </c>
      <c r="F11" s="4">
        <v>2363.7912</v>
      </c>
    </row>
    <row r="12" spans="1:6">
      <c r="A12" s="2">
        <v>43040</v>
      </c>
      <c r="B12">
        <v>2495.97398718365</v>
      </c>
      <c r="C12">
        <v>0.886525572333916</v>
      </c>
      <c r="D12">
        <v>0.993306969815971</v>
      </c>
      <c r="E12" s="4">
        <f t="shared" si="0"/>
        <v>2197.9348</v>
      </c>
      <c r="F12" s="4">
        <v>2197.9348</v>
      </c>
    </row>
    <row r="13" spans="1:6">
      <c r="A13" s="2">
        <v>43070</v>
      </c>
      <c r="B13">
        <v>2540.52260323731</v>
      </c>
      <c r="C13">
        <v>0.822631650648992</v>
      </c>
      <c r="D13">
        <v>0.994456182917307</v>
      </c>
      <c r="E13" s="4">
        <f t="shared" si="0"/>
        <v>2078.3282</v>
      </c>
      <c r="F13" s="4">
        <v>2078.3282</v>
      </c>
    </row>
    <row r="14" spans="1:6">
      <c r="A14" s="2">
        <v>43101</v>
      </c>
      <c r="B14">
        <v>2602.59414917851</v>
      </c>
      <c r="C14">
        <v>0.874431977591946</v>
      </c>
      <c r="D14">
        <v>0.983066134173491</v>
      </c>
      <c r="E14" s="4">
        <f t="shared" si="0"/>
        <v>2237.2536</v>
      </c>
      <c r="F14" s="4">
        <v>2237.2536</v>
      </c>
    </row>
    <row r="15" spans="1:6">
      <c r="A15" s="2">
        <v>43132</v>
      </c>
      <c r="B15">
        <v>2654.77754572591</v>
      </c>
      <c r="C15">
        <v>0.851336099073765</v>
      </c>
      <c r="D15">
        <v>1.04315693854137</v>
      </c>
      <c r="E15" s="4">
        <f t="shared" si="0"/>
        <v>2357.64729999999</v>
      </c>
      <c r="F15" s="4">
        <v>2357.6473</v>
      </c>
    </row>
    <row r="16" spans="1:6">
      <c r="A16" s="2">
        <v>43160</v>
      </c>
      <c r="B16">
        <v>2674.84667960777</v>
      </c>
      <c r="C16">
        <v>0.797858422966762</v>
      </c>
      <c r="D16">
        <v>0.981229213919392</v>
      </c>
      <c r="E16" s="4">
        <f t="shared" si="0"/>
        <v>2094.0893</v>
      </c>
      <c r="F16" s="4">
        <v>2094.0893</v>
      </c>
    </row>
    <row r="17" spans="1:6">
      <c r="A17" s="2">
        <v>43191</v>
      </c>
      <c r="B17">
        <v>2658.18123158636</v>
      </c>
      <c r="C17">
        <v>0.929802744546737</v>
      </c>
      <c r="D17">
        <v>1.02766792053462</v>
      </c>
      <c r="E17" s="4">
        <f t="shared" si="0"/>
        <v>2539.96779999999</v>
      </c>
      <c r="F17" s="4">
        <v>2539.9678</v>
      </c>
    </row>
    <row r="18" spans="1:6">
      <c r="A18" s="2">
        <v>43221</v>
      </c>
      <c r="B18">
        <v>2616.9536086121</v>
      </c>
      <c r="C18">
        <v>1.05311886906226</v>
      </c>
      <c r="D18">
        <v>1.00473096853878</v>
      </c>
      <c r="E18" s="4">
        <f t="shared" si="0"/>
        <v>2769.00160000002</v>
      </c>
      <c r="F18" s="4">
        <v>2769.0016</v>
      </c>
    </row>
    <row r="19" spans="1:6">
      <c r="A19" s="2">
        <v>43252</v>
      </c>
      <c r="B19">
        <v>2566.87554551936</v>
      </c>
      <c r="C19">
        <v>1.31342755360441</v>
      </c>
      <c r="D19">
        <v>1.0090652802685</v>
      </c>
      <c r="E19" s="4">
        <f t="shared" si="0"/>
        <v>3401.96779999998</v>
      </c>
      <c r="F19" s="4">
        <v>3401.9678</v>
      </c>
    </row>
    <row r="20" spans="1:6">
      <c r="A20" s="2">
        <v>43282</v>
      </c>
      <c r="B20">
        <v>2528.20156354015</v>
      </c>
      <c r="C20">
        <v>1.13556886542826</v>
      </c>
      <c r="D20">
        <v>0.951409523755609</v>
      </c>
      <c r="E20" s="4">
        <f t="shared" si="0"/>
        <v>2731.44630000001</v>
      </c>
      <c r="F20" s="4">
        <v>2731.4463</v>
      </c>
    </row>
    <row r="21" spans="1:6">
      <c r="A21" s="2">
        <v>43313</v>
      </c>
      <c r="B21">
        <v>2517.69540289875</v>
      </c>
      <c r="C21">
        <v>1.2059434516836</v>
      </c>
      <c r="D21">
        <v>0.985810879124677</v>
      </c>
      <c r="E21" s="4">
        <f t="shared" si="0"/>
        <v>2993.1173</v>
      </c>
      <c r="F21" s="4">
        <v>2993.1173</v>
      </c>
    </row>
    <row r="22" spans="1:6">
      <c r="A22" s="2">
        <v>43344</v>
      </c>
      <c r="B22">
        <v>2543.70309270298</v>
      </c>
      <c r="C22">
        <v>1.17216267176975</v>
      </c>
      <c r="D22">
        <v>1.12997283064592</v>
      </c>
      <c r="E22" s="4">
        <f t="shared" si="0"/>
        <v>3369.16520000001</v>
      </c>
      <c r="F22" s="4">
        <v>3369.1652</v>
      </c>
    </row>
    <row r="23" spans="1:6">
      <c r="A23" s="2">
        <v>43374</v>
      </c>
      <c r="B23">
        <v>2597.82496303694</v>
      </c>
      <c r="C23">
        <v>0.964168540942616</v>
      </c>
      <c r="D23">
        <v>0.999507612090707</v>
      </c>
      <c r="E23" s="4">
        <f t="shared" si="0"/>
        <v>2503.5078</v>
      </c>
      <c r="F23" s="4">
        <v>2503.5078</v>
      </c>
    </row>
    <row r="24" spans="1:6">
      <c r="A24" s="2">
        <v>43405</v>
      </c>
      <c r="B24">
        <v>2662.73455104634</v>
      </c>
      <c r="C24">
        <v>0.884893004666594</v>
      </c>
      <c r="D24">
        <v>0.97747882808492</v>
      </c>
      <c r="E24" s="4">
        <f t="shared" si="0"/>
        <v>2303.17</v>
      </c>
      <c r="F24" s="4">
        <v>2303.17</v>
      </c>
    </row>
    <row r="25" spans="1:6">
      <c r="A25" s="2">
        <v>43435</v>
      </c>
      <c r="B25">
        <v>2712.85170306722</v>
      </c>
      <c r="C25">
        <v>0.8231122331682</v>
      </c>
      <c r="D25">
        <v>1.0107884356672</v>
      </c>
      <c r="E25" s="4">
        <f t="shared" si="0"/>
        <v>2257.07180000001</v>
      </c>
      <c r="F25" s="4">
        <v>2257.0718</v>
      </c>
    </row>
    <row r="26" spans="1:6">
      <c r="A26" s="2">
        <v>43466</v>
      </c>
      <c r="B26">
        <v>2735.04577411436</v>
      </c>
      <c r="C26">
        <v>0.868629473601369</v>
      </c>
      <c r="D26">
        <v>1.02018554272779</v>
      </c>
      <c r="E26" s="4">
        <f t="shared" si="0"/>
        <v>2423.697</v>
      </c>
      <c r="F26" s="4">
        <v>2423.697</v>
      </c>
    </row>
    <row r="27" spans="1:6">
      <c r="A27" s="2">
        <v>43497</v>
      </c>
      <c r="B27">
        <v>2726.53264684423</v>
      </c>
      <c r="C27">
        <v>0.839349810641237</v>
      </c>
      <c r="D27">
        <v>1.02693963041584</v>
      </c>
      <c r="E27" s="4">
        <f t="shared" si="0"/>
        <v>2350.1664</v>
      </c>
      <c r="F27" s="4">
        <v>2350.1664</v>
      </c>
    </row>
    <row r="28" spans="1:6">
      <c r="A28" s="2">
        <v>43525</v>
      </c>
      <c r="B28">
        <v>2693.71277341945</v>
      </c>
      <c r="C28">
        <v>0.79616223607835</v>
      </c>
      <c r="D28">
        <v>0.986234104621191</v>
      </c>
      <c r="E28" s="4">
        <f t="shared" si="0"/>
        <v>2115.1096</v>
      </c>
      <c r="F28" s="4">
        <v>2115.1096</v>
      </c>
    </row>
    <row r="29" spans="1:6">
      <c r="A29" s="2">
        <v>43556</v>
      </c>
      <c r="B29">
        <v>2647.55272910418</v>
      </c>
      <c r="C29">
        <v>0.93753473390995</v>
      </c>
      <c r="D29">
        <v>0.980790520949393</v>
      </c>
      <c r="E29" s="4">
        <f t="shared" si="0"/>
        <v>2434.4914</v>
      </c>
      <c r="F29" s="4">
        <v>2434.4914</v>
      </c>
    </row>
    <row r="30" spans="1:6">
      <c r="A30" s="2">
        <v>43586</v>
      </c>
      <c r="B30">
        <v>2606.94912047078</v>
      </c>
      <c r="C30">
        <v>1.06273408050174</v>
      </c>
      <c r="D30">
        <v>1.00348509134806</v>
      </c>
      <c r="E30" s="4">
        <f t="shared" si="0"/>
        <v>2780.14910000001</v>
      </c>
      <c r="F30" s="4">
        <v>2780.1491</v>
      </c>
    </row>
    <row r="31" spans="1:6">
      <c r="A31" s="2">
        <v>43617</v>
      </c>
      <c r="B31">
        <v>2593.88928599595</v>
      </c>
      <c r="C31">
        <v>1.29422885732076</v>
      </c>
      <c r="D31">
        <v>1.00301330745299</v>
      </c>
      <c r="E31" s="4">
        <f t="shared" si="0"/>
        <v>3367.2023</v>
      </c>
      <c r="F31" s="4">
        <v>3367.2023</v>
      </c>
    </row>
    <row r="32" spans="1:6">
      <c r="A32" s="2">
        <v>43647</v>
      </c>
      <c r="B32">
        <v>2612.36195899633</v>
      </c>
      <c r="C32">
        <v>1.15245416413735</v>
      </c>
      <c r="D32">
        <v>0.97807406606101</v>
      </c>
      <c r="E32" s="4">
        <f t="shared" si="0"/>
        <v>2944.61659999999</v>
      </c>
      <c r="F32" s="4">
        <v>2944.6166</v>
      </c>
    </row>
    <row r="33" spans="1:6">
      <c r="A33" s="2">
        <v>43678</v>
      </c>
      <c r="B33">
        <v>2646.70834228912</v>
      </c>
      <c r="C33">
        <v>1.21829297703577</v>
      </c>
      <c r="D33">
        <v>0.903750894628137</v>
      </c>
      <c r="E33" s="4">
        <f t="shared" si="0"/>
        <v>2914.11419999999</v>
      </c>
      <c r="F33" s="4">
        <v>2914.1142</v>
      </c>
    </row>
    <row r="34" spans="1:6">
      <c r="A34" s="2">
        <v>43709</v>
      </c>
      <c r="B34">
        <v>2670.31884235918</v>
      </c>
      <c r="C34">
        <v>1.16943791541347</v>
      </c>
      <c r="D34">
        <v>1.02071960342282</v>
      </c>
      <c r="E34" s="4">
        <f t="shared" si="0"/>
        <v>3187.47469999999</v>
      </c>
      <c r="F34" s="4">
        <v>3187.4747</v>
      </c>
    </row>
    <row r="35" spans="1:6">
      <c r="A35" s="2">
        <v>43739</v>
      </c>
      <c r="B35">
        <v>2660.99366409379</v>
      </c>
      <c r="C35">
        <v>0.961729855514503</v>
      </c>
      <c r="D35">
        <v>1.0344934078328</v>
      </c>
      <c r="E35" s="4">
        <f t="shared" si="0"/>
        <v>2647.43109999999</v>
      </c>
      <c r="F35" s="4">
        <v>2647.4311</v>
      </c>
    </row>
    <row r="36" spans="1:6">
      <c r="A36" s="2">
        <v>43770</v>
      </c>
      <c r="B36">
        <v>2618.91334597212</v>
      </c>
      <c r="C36">
        <v>0.883476662808896</v>
      </c>
      <c r="D36">
        <v>1.03518535638035</v>
      </c>
      <c r="E36" s="4">
        <f t="shared" si="0"/>
        <v>2395.15889999999</v>
      </c>
      <c r="F36" s="4">
        <v>2395.1589</v>
      </c>
    </row>
    <row r="37" spans="1:6">
      <c r="A37" s="2">
        <v>43800</v>
      </c>
      <c r="B37">
        <v>2563.08840991656</v>
      </c>
      <c r="C37">
        <v>0.823274641684788</v>
      </c>
      <c r="D37">
        <v>0.983588232489096</v>
      </c>
      <c r="E37" s="4">
        <f t="shared" si="0"/>
        <v>2075.4948</v>
      </c>
      <c r="F37" s="4">
        <v>2075.4948</v>
      </c>
    </row>
    <row r="38" spans="1:6">
      <c r="A38" s="2">
        <v>43831</v>
      </c>
      <c r="B38">
        <v>2524.26220716236</v>
      </c>
      <c r="C38">
        <v>0.859695577676353</v>
      </c>
      <c r="D38">
        <v>0.982693651289746</v>
      </c>
      <c r="E38" s="4">
        <f t="shared" si="0"/>
        <v>2132.5406</v>
      </c>
      <c r="F38" s="4">
        <v>2132.5406</v>
      </c>
    </row>
    <row r="39" spans="1:6">
      <c r="A39" s="2">
        <v>43862</v>
      </c>
      <c r="B39">
        <v>2529.18959688564</v>
      </c>
      <c r="C39">
        <v>0.826738280473482</v>
      </c>
      <c r="D39">
        <v>0.947080329961253</v>
      </c>
      <c r="E39" s="4">
        <f t="shared" si="0"/>
        <v>1980.324</v>
      </c>
      <c r="F39" s="4">
        <v>1980.324</v>
      </c>
    </row>
    <row r="40" spans="1:6">
      <c r="A40" s="2">
        <v>43891</v>
      </c>
      <c r="B40">
        <v>2587.84272261321</v>
      </c>
      <c r="C40">
        <v>0.796822742800134</v>
      </c>
      <c r="D40">
        <v>0.981314953570167</v>
      </c>
      <c r="E40" s="4">
        <f t="shared" si="0"/>
        <v>2023.5224</v>
      </c>
      <c r="F40" s="4">
        <v>2023.5224</v>
      </c>
    </row>
    <row r="41" spans="1:6">
      <c r="A41" s="2">
        <v>43922</v>
      </c>
      <c r="B41">
        <v>2689.51636360192</v>
      </c>
      <c r="C41">
        <v>0.94165806051258</v>
      </c>
      <c r="D41">
        <v>1.02738668044703</v>
      </c>
      <c r="E41" s="4">
        <f t="shared" si="0"/>
        <v>2601.9644</v>
      </c>
      <c r="F41" s="4">
        <v>2601.9644</v>
      </c>
    </row>
    <row r="42" spans="1:6">
      <c r="A42" s="2">
        <v>43952</v>
      </c>
      <c r="B42">
        <v>2802.99132693522</v>
      </c>
      <c r="C42">
        <v>1.07509073552579</v>
      </c>
      <c r="D42">
        <v>1.02372656521501</v>
      </c>
      <c r="E42" s="4">
        <f t="shared" si="0"/>
        <v>3084.9693</v>
      </c>
      <c r="F42" s="4">
        <v>3084.9693</v>
      </c>
    </row>
    <row r="43" spans="1:6">
      <c r="A43" s="2">
        <v>43983</v>
      </c>
      <c r="B43">
        <v>2898.3066981041</v>
      </c>
      <c r="C43">
        <v>1.27155872788225</v>
      </c>
      <c r="D43">
        <v>1.17186828105433</v>
      </c>
      <c r="E43" s="4">
        <f t="shared" si="0"/>
        <v>4318.76490000002</v>
      </c>
      <c r="F43" s="4">
        <v>4318.7649</v>
      </c>
    </row>
    <row r="44" spans="1:6">
      <c r="A44" s="2">
        <v>44013</v>
      </c>
      <c r="B44">
        <v>2961.40674938252</v>
      </c>
      <c r="C44">
        <v>1.18121608404767</v>
      </c>
      <c r="D44">
        <v>0.988746371036858</v>
      </c>
      <c r="E44" s="4">
        <f t="shared" si="0"/>
        <v>3458.69539999999</v>
      </c>
      <c r="F44" s="4">
        <v>3458.6954</v>
      </c>
    </row>
    <row r="45" spans="1:6">
      <c r="A45" s="2">
        <v>44044</v>
      </c>
      <c r="B45">
        <v>3002.2949812849</v>
      </c>
      <c r="C45">
        <v>1.22922004158367</v>
      </c>
      <c r="D45">
        <v>0.920090647041181</v>
      </c>
      <c r="E45" s="4">
        <f t="shared" si="0"/>
        <v>3395.5772</v>
      </c>
      <c r="F45" s="4">
        <v>3395.5772</v>
      </c>
    </row>
    <row r="46" spans="1:6">
      <c r="A46" s="2">
        <v>44075</v>
      </c>
      <c r="B46">
        <v>3041.43787692925</v>
      </c>
      <c r="C46">
        <v>1.1597364404427</v>
      </c>
      <c r="D46">
        <v>1.16379190215566</v>
      </c>
      <c r="E46" s="4">
        <f t="shared" si="0"/>
        <v>4105.00400000002</v>
      </c>
      <c r="F46" s="4">
        <v>4105.004</v>
      </c>
    </row>
    <row r="47" spans="1:6">
      <c r="A47" s="2">
        <v>44105</v>
      </c>
      <c r="B47">
        <v>3096.85511698581</v>
      </c>
      <c r="C47">
        <v>0.960131718661323</v>
      </c>
      <c r="D47">
        <v>0.971721785868092</v>
      </c>
      <c r="E47" s="4">
        <f t="shared" si="0"/>
        <v>2889.3067</v>
      </c>
      <c r="F47" s="4">
        <v>2889.3067</v>
      </c>
    </row>
    <row r="48" spans="1:6">
      <c r="A48" s="2">
        <v>44136</v>
      </c>
      <c r="B48">
        <v>3174.55363714922</v>
      </c>
      <c r="C48">
        <v>0.881301060654204</v>
      </c>
      <c r="D48">
        <v>0.992006295221406</v>
      </c>
      <c r="E48" s="4">
        <f t="shared" si="0"/>
        <v>2775.3732</v>
      </c>
      <c r="F48" s="4">
        <v>2775.3732</v>
      </c>
    </row>
    <row r="49" spans="1:6">
      <c r="A49" s="2">
        <v>44166</v>
      </c>
      <c r="B49">
        <v>3275.24517252429</v>
      </c>
      <c r="C49">
        <v>0.825336266211638</v>
      </c>
      <c r="D49">
        <v>1.00015151732033</v>
      </c>
      <c r="E49" s="4">
        <f t="shared" si="0"/>
        <v>2703.58820000001</v>
      </c>
      <c r="F49" s="4">
        <v>2703.5882</v>
      </c>
    </row>
    <row r="50" spans="1:6">
      <c r="A50" s="2">
        <v>44197</v>
      </c>
      <c r="B50">
        <v>3390.48619569108</v>
      </c>
      <c r="C50">
        <v>0.848237892127456</v>
      </c>
      <c r="D50">
        <v>1.01376334406003</v>
      </c>
      <c r="E50" s="4">
        <f t="shared" si="0"/>
        <v>2915.52139999999</v>
      </c>
      <c r="F50" s="5">
        <v>2915.5214</v>
      </c>
    </row>
    <row r="51" spans="1:6">
      <c r="A51" s="2">
        <v>44228</v>
      </c>
      <c r="B51">
        <v>3504.96410465178</v>
      </c>
      <c r="C51">
        <v>0.812982612628572</v>
      </c>
      <c r="D51">
        <v>0.996472657099924</v>
      </c>
      <c r="E51" s="4">
        <f t="shared" si="0"/>
        <v>2839.4238</v>
      </c>
      <c r="F51" s="5">
        <v>2839.4238</v>
      </c>
    </row>
    <row r="52" spans="1:6">
      <c r="A52" s="2">
        <v>44256</v>
      </c>
      <c r="B52">
        <v>3607.00668277433</v>
      </c>
      <c r="C52">
        <v>0.799346500971125</v>
      </c>
      <c r="D52">
        <v>0.989319070357377</v>
      </c>
      <c r="E52" s="4">
        <f t="shared" si="0"/>
        <v>2852.4524</v>
      </c>
      <c r="F52" s="5">
        <v>2852.4524</v>
      </c>
    </row>
    <row r="53" spans="1:6">
      <c r="A53" s="2">
        <v>44287</v>
      </c>
      <c r="B53">
        <v>3687.70885140791</v>
      </c>
      <c r="C53">
        <v>0.945971417993869</v>
      </c>
      <c r="D53">
        <v>1.01564498847342</v>
      </c>
      <c r="E53" s="4">
        <f t="shared" si="0"/>
        <v>3543.04420000001</v>
      </c>
      <c r="F53" s="5">
        <v>3543.0442</v>
      </c>
    </row>
    <row r="54" spans="1:6">
      <c r="A54" s="2">
        <v>44317</v>
      </c>
      <c r="B54">
        <v>3747.39771878017</v>
      </c>
      <c r="C54">
        <v>1.08642682925153</v>
      </c>
      <c r="D54">
        <v>1.01828314405195</v>
      </c>
      <c r="E54" s="4">
        <f t="shared" si="0"/>
        <v>4145.70909999999</v>
      </c>
      <c r="F54" s="5">
        <v>4145.7091</v>
      </c>
    </row>
    <row r="55" spans="1:6">
      <c r="A55" s="2">
        <v>44348</v>
      </c>
      <c r="B55">
        <v>3792.15339795706</v>
      </c>
      <c r="C55">
        <v>1.25181781466199</v>
      </c>
      <c r="D55">
        <v>0.977444015549544</v>
      </c>
      <c r="E55" s="4">
        <f t="shared" si="0"/>
        <v>4640.01</v>
      </c>
      <c r="F55" s="5">
        <v>4640.01</v>
      </c>
    </row>
    <row r="56" spans="1:6">
      <c r="A56" s="2">
        <v>44378</v>
      </c>
      <c r="B56">
        <v>3824.10231088682</v>
      </c>
      <c r="C56">
        <v>1.21288296137836</v>
      </c>
      <c r="D56">
        <v>0.994228428784715</v>
      </c>
      <c r="E56" s="4">
        <f t="shared" si="0"/>
        <v>4611.41890000001</v>
      </c>
      <c r="F56" s="5">
        <v>4611.4189</v>
      </c>
    </row>
    <row r="57" spans="1:6">
      <c r="A57" s="2">
        <v>44409</v>
      </c>
      <c r="B57">
        <v>3851.09472103654</v>
      </c>
      <c r="C57">
        <v>1.23952079707155</v>
      </c>
      <c r="D57">
        <v>1.22553210344602</v>
      </c>
      <c r="E57" s="4">
        <f t="shared" si="0"/>
        <v>5850.0922</v>
      </c>
      <c r="F57" s="5">
        <v>5850.0922</v>
      </c>
    </row>
    <row r="58" customFormat="1" spans="1:6">
      <c r="A58" s="2">
        <v>44440</v>
      </c>
      <c r="B58" s="14">
        <v>3874.6150137844</v>
      </c>
      <c r="C58" s="15">
        <v>1.14651287100706</v>
      </c>
      <c r="D58" s="14">
        <v>0.996994193194107</v>
      </c>
      <c r="E58" s="4">
        <f t="shared" si="0"/>
        <v>4428.94330000001</v>
      </c>
      <c r="F58" s="5">
        <v>4428.9433</v>
      </c>
    </row>
    <row r="59" customFormat="1" spans="1:6">
      <c r="A59" s="2">
        <v>44470</v>
      </c>
      <c r="B59" s="14">
        <v>3904.76408976495</v>
      </c>
      <c r="C59" s="15">
        <v>0.955029197772565</v>
      </c>
      <c r="D59" s="14">
        <v>0.999162086629285</v>
      </c>
      <c r="E59" s="4">
        <f t="shared" si="0"/>
        <v>3726.039</v>
      </c>
      <c r="F59" s="5">
        <v>3726.039</v>
      </c>
    </row>
    <row r="60" customFormat="1" spans="1:6">
      <c r="A60" s="2">
        <v>44501</v>
      </c>
      <c r="B60" s="14">
        <v>3945.72939412307</v>
      </c>
      <c r="C60" s="15">
        <v>0.876872031021986</v>
      </c>
      <c r="D60" s="14">
        <v>0.990580753760388</v>
      </c>
      <c r="E60" s="4">
        <f t="shared" si="0"/>
        <v>3427.3101</v>
      </c>
      <c r="F60" s="5">
        <v>3427.3101</v>
      </c>
    </row>
    <row r="61" customFormat="1" spans="1:6">
      <c r="A61" s="2">
        <v>44531</v>
      </c>
      <c r="B61" s="14">
        <v>3984.91616340889</v>
      </c>
      <c r="C61" s="15">
        <v>0.828798737249227</v>
      </c>
      <c r="D61" s="14">
        <v>0.993892535176714</v>
      </c>
      <c r="E61" s="4">
        <f t="shared" si="0"/>
        <v>3282.5224</v>
      </c>
      <c r="F61" s="5">
        <v>3282.5224</v>
      </c>
    </row>
    <row r="62" spans="1:6">
      <c r="A62" s="2">
        <v>44562</v>
      </c>
      <c r="B62">
        <v>4002.93346570502</v>
      </c>
      <c r="C62">
        <v>0.839346177504421</v>
      </c>
      <c r="D62">
        <v>1.01376535838919</v>
      </c>
      <c r="E62" s="4">
        <f t="shared" si="0"/>
        <v>3406.0964</v>
      </c>
      <c r="F62" s="5">
        <v>3406.0964</v>
      </c>
    </row>
    <row r="63" spans="1:6">
      <c r="A63" s="2">
        <v>44593</v>
      </c>
      <c r="B63">
        <v>3996.67598320152</v>
      </c>
      <c r="C63">
        <v>0.805267758313514</v>
      </c>
      <c r="D63">
        <v>0.988904308713651</v>
      </c>
      <c r="E63" s="4">
        <f t="shared" si="0"/>
        <v>3182.68399999999</v>
      </c>
      <c r="F63" s="5">
        <v>3182.684</v>
      </c>
    </row>
    <row r="64" spans="1:6">
      <c r="A64" s="2">
        <v>44621</v>
      </c>
      <c r="B64">
        <v>3979.72832558105</v>
      </c>
      <c r="C64">
        <v>0.803533693744164</v>
      </c>
      <c r="D64">
        <v>1.05255628597414</v>
      </c>
      <c r="E64" s="4">
        <f t="shared" si="0"/>
        <v>3365.91270000001</v>
      </c>
      <c r="F64" s="5">
        <v>3365.9127</v>
      </c>
    </row>
    <row r="65" spans="1:6">
      <c r="A65" s="2">
        <v>44652</v>
      </c>
      <c r="B65">
        <v>3968.33917472775</v>
      </c>
      <c r="C65">
        <v>0.945830625089094</v>
      </c>
      <c r="D65">
        <v>0.990439536221861</v>
      </c>
      <c r="E65" s="4">
        <f t="shared" si="0"/>
        <v>3717.4927</v>
      </c>
      <c r="F65" s="5">
        <v>3717.4927</v>
      </c>
    </row>
    <row r="66" spans="1:6">
      <c r="A66" s="2">
        <v>44682</v>
      </c>
      <c r="B66">
        <v>3976.88490554904</v>
      </c>
      <c r="C66">
        <v>1.09464288949387</v>
      </c>
      <c r="D66">
        <v>0.947907401211225</v>
      </c>
      <c r="E66" s="4">
        <f t="shared" ref="E66:E97" si="1">B66*C66*D66</f>
        <v>4126.4957</v>
      </c>
      <c r="F66" s="5">
        <v>4126.4957</v>
      </c>
    </row>
    <row r="67" spans="1:6">
      <c r="A67" s="2">
        <v>44713</v>
      </c>
      <c r="B67">
        <v>4015.47473948699</v>
      </c>
      <c r="C67">
        <v>1.24000012912822</v>
      </c>
      <c r="D67">
        <v>0.969464306435046</v>
      </c>
      <c r="E67" s="4">
        <f t="shared" si="1"/>
        <v>4827.14620000002</v>
      </c>
      <c r="F67" s="5">
        <v>4827.1462</v>
      </c>
    </row>
    <row r="68" spans="1:6">
      <c r="A68" s="2">
        <v>44743</v>
      </c>
      <c r="B68">
        <v>4085.31829118378</v>
      </c>
      <c r="C68">
        <v>1.24031559521087</v>
      </c>
      <c r="D68">
        <v>1.10859930748189</v>
      </c>
      <c r="E68" s="4">
        <f t="shared" si="1"/>
        <v>5617.3658</v>
      </c>
      <c r="F68" s="5">
        <v>5617.3658</v>
      </c>
    </row>
    <row r="69" spans="1:6">
      <c r="A69" s="2">
        <v>44774</v>
      </c>
      <c r="B69">
        <v>4164.50898423854</v>
      </c>
      <c r="C69">
        <v>1.24453339806353</v>
      </c>
      <c r="D69">
        <v>1.26951599077855</v>
      </c>
      <c r="E69" s="4">
        <f t="shared" si="1"/>
        <v>6579.73700000001</v>
      </c>
      <c r="F69" s="5">
        <v>6579.737</v>
      </c>
    </row>
    <row r="70" spans="1:6">
      <c r="A70" s="2">
        <v>44805</v>
      </c>
      <c r="B70">
        <v>4237.09152161761</v>
      </c>
      <c r="C70">
        <v>1.13161240628305</v>
      </c>
      <c r="D70">
        <v>0.972476237366163</v>
      </c>
      <c r="E70" s="4">
        <f t="shared" si="1"/>
        <v>4662.77590000001</v>
      </c>
      <c r="F70" s="5">
        <v>4662.7759</v>
      </c>
    </row>
    <row r="71" spans="1:6">
      <c r="A71" s="2">
        <v>44835</v>
      </c>
      <c r="B71">
        <v>4301.70095499165</v>
      </c>
      <c r="C71">
        <v>0.95090782463193</v>
      </c>
      <c r="D71">
        <v>0.995259748851834</v>
      </c>
      <c r="E71" s="4">
        <f t="shared" si="1"/>
        <v>4071.131</v>
      </c>
      <c r="F71" s="5">
        <v>4071.131</v>
      </c>
    </row>
    <row r="72" spans="1:6">
      <c r="A72" s="2">
        <v>44866</v>
      </c>
      <c r="B72">
        <v>4361.16120212949</v>
      </c>
      <c r="C72">
        <v>0.871484200397954</v>
      </c>
      <c r="D72">
        <v>1.02027254450636</v>
      </c>
      <c r="E72" s="4">
        <f t="shared" si="1"/>
        <v>3877.73259999999</v>
      </c>
      <c r="F72" s="5">
        <v>3877.7326</v>
      </c>
    </row>
    <row r="73" spans="1:6">
      <c r="A73" s="2">
        <v>44896</v>
      </c>
      <c r="B73">
        <v>4447.31461351529</v>
      </c>
      <c r="C73">
        <v>0.832862641111927</v>
      </c>
      <c r="D73">
        <v>0.991355514067356</v>
      </c>
      <c r="E73" s="4">
        <f t="shared" si="1"/>
        <v>3671.98299999999</v>
      </c>
      <c r="F73" s="5">
        <v>3671.983</v>
      </c>
    </row>
    <row r="74" spans="1:6">
      <c r="A74" s="2">
        <v>44927</v>
      </c>
      <c r="B74">
        <v>4576.28054740398</v>
      </c>
      <c r="C74">
        <v>0.835368326583938</v>
      </c>
      <c r="D74">
        <v>0.957976360673784</v>
      </c>
      <c r="E74" s="4">
        <f t="shared" si="1"/>
        <v>3662.22850000001</v>
      </c>
      <c r="F74" s="5">
        <v>3662.2285</v>
      </c>
    </row>
    <row r="75" spans="1:6">
      <c r="A75" s="2">
        <v>44958</v>
      </c>
      <c r="B75">
        <v>4743.8949949804</v>
      </c>
      <c r="C75">
        <v>0.803015338127236</v>
      </c>
      <c r="D75">
        <v>1.02442774641116</v>
      </c>
      <c r="E75" s="4">
        <f t="shared" si="1"/>
        <v>3902.47599999999</v>
      </c>
      <c r="F75" s="5">
        <v>3902.476</v>
      </c>
    </row>
    <row r="76" spans="1:6">
      <c r="A76" s="2">
        <v>44986</v>
      </c>
      <c r="B76">
        <v>4915.36332963572</v>
      </c>
      <c r="C76">
        <v>0.806852070987576</v>
      </c>
      <c r="D76">
        <v>0.994828458970576</v>
      </c>
      <c r="E76" s="4">
        <f t="shared" si="1"/>
        <v>3945.4609</v>
      </c>
      <c r="F76" s="5">
        <v>3945.4609</v>
      </c>
    </row>
    <row r="77" spans="1:6">
      <c r="A77" s="2">
        <v>45017</v>
      </c>
      <c r="B77">
        <v>5049.84198921721</v>
      </c>
      <c r="C77">
        <v>0.947109003781197</v>
      </c>
      <c r="D77">
        <v>0.98601835674963</v>
      </c>
      <c r="E77" s="4">
        <f t="shared" si="1"/>
        <v>4715.8801</v>
      </c>
      <c r="F77" s="5">
        <v>4715.8801</v>
      </c>
    </row>
    <row r="78" spans="1:6">
      <c r="A78" s="2">
        <v>45047</v>
      </c>
      <c r="B78">
        <v>5120.21838995282</v>
      </c>
      <c r="C78">
        <v>1.09693274149018</v>
      </c>
      <c r="D78">
        <v>1.03982834553571</v>
      </c>
      <c r="E78" s="4">
        <f t="shared" si="1"/>
        <v>5840.2325</v>
      </c>
      <c r="F78" s="5">
        <v>5840.2325</v>
      </c>
    </row>
    <row r="79" spans="1:6">
      <c r="A79" s="2">
        <v>45078</v>
      </c>
      <c r="B79">
        <v>5104.73505790161</v>
      </c>
      <c r="C79">
        <v>1.2333551348381</v>
      </c>
      <c r="D79">
        <v>1.00270300766638</v>
      </c>
      <c r="E79" s="4">
        <f t="shared" si="1"/>
        <v>6312.96920000002</v>
      </c>
      <c r="F79" s="5">
        <v>6312.9692</v>
      </c>
    </row>
    <row r="80" spans="1:6">
      <c r="A80" s="2">
        <v>45108</v>
      </c>
      <c r="B80">
        <v>5020.41045312631</v>
      </c>
      <c r="C80">
        <v>1.25327859132285</v>
      </c>
      <c r="D80">
        <v>1.03265512445531</v>
      </c>
      <c r="E80" s="4">
        <f t="shared" si="1"/>
        <v>6497.43809999997</v>
      </c>
      <c r="F80" s="5">
        <v>6497.4381</v>
      </c>
    </row>
    <row r="81" spans="1:6">
      <c r="A81" s="2">
        <v>45139</v>
      </c>
      <c r="B81">
        <v>4919.26158527886</v>
      </c>
      <c r="C81">
        <v>1.24862780178855</v>
      </c>
      <c r="D81">
        <v>0.959706526772625</v>
      </c>
      <c r="E81" s="4">
        <f t="shared" si="1"/>
        <v>5894.8311</v>
      </c>
      <c r="F81" s="5">
        <v>5894.8311</v>
      </c>
    </row>
    <row r="82" spans="1:6">
      <c r="A82" s="2">
        <v>45170</v>
      </c>
      <c r="B82">
        <v>4839.87488287795</v>
      </c>
      <c r="C82">
        <v>1.12359739075792</v>
      </c>
      <c r="D82">
        <v>0.975065037725166</v>
      </c>
      <c r="E82" s="4">
        <f t="shared" si="1"/>
        <v>5302.47270000002</v>
      </c>
      <c r="F82" s="5">
        <v>5302.4727</v>
      </c>
    </row>
    <row r="83" spans="1:6">
      <c r="A83" s="2">
        <v>45200</v>
      </c>
      <c r="B83">
        <v>4795.76154360675</v>
      </c>
      <c r="C83">
        <v>0.948065842887311</v>
      </c>
      <c r="D83">
        <v>1.00661400686633</v>
      </c>
      <c r="E83" s="4">
        <f t="shared" si="1"/>
        <v>4576.76959999999</v>
      </c>
      <c r="F83" s="5">
        <v>4576.7696</v>
      </c>
    </row>
    <row r="84" spans="1:6">
      <c r="A84" s="2">
        <v>45231</v>
      </c>
      <c r="B84">
        <v>4779.1180424373</v>
      </c>
      <c r="C84">
        <v>0.867873257195144</v>
      </c>
      <c r="D84">
        <v>0.981073550735853</v>
      </c>
      <c r="E84" s="4">
        <f t="shared" si="1"/>
        <v>4069.1681</v>
      </c>
      <c r="F84" s="5">
        <v>4069.1681</v>
      </c>
    </row>
    <row r="85" spans="1:6">
      <c r="A85" s="2">
        <v>45261</v>
      </c>
      <c r="B85">
        <v>4794.28225750751</v>
      </c>
      <c r="C85">
        <v>0.835053915553941</v>
      </c>
      <c r="D85">
        <v>1.04533259551617</v>
      </c>
      <c r="E85" s="4">
        <f t="shared" si="1"/>
        <v>4184.97250000001</v>
      </c>
      <c r="F85" s="5">
        <v>4184.9725</v>
      </c>
    </row>
    <row r="86" spans="1:8">
      <c r="A86" s="3" t="s">
        <v>7</v>
      </c>
      <c r="B86" s="6">
        <v>4888.03413696003</v>
      </c>
      <c r="C86">
        <v>0.835368326583938</v>
      </c>
      <c r="D86" s="6">
        <v>1.0140914875805</v>
      </c>
      <c r="E86" s="4">
        <f t="shared" si="1"/>
        <v>4140.84879389079</v>
      </c>
      <c r="F86" s="5">
        <v>4251.1814</v>
      </c>
      <c r="H86" s="16">
        <f t="shared" ref="H86:H93" si="2">ABS((E86-F86))/F86</f>
        <v>0.0259533987679768</v>
      </c>
    </row>
    <row r="87" spans="1:8">
      <c r="A87" s="3" t="s">
        <v>8</v>
      </c>
      <c r="B87" s="6">
        <v>4948.21503746225</v>
      </c>
      <c r="C87">
        <v>0.803015338127236</v>
      </c>
      <c r="D87" s="6">
        <v>0.991693869438571</v>
      </c>
      <c r="E87" s="4">
        <f t="shared" si="1"/>
        <v>3940.48822335082</v>
      </c>
      <c r="F87" s="5">
        <v>3779.2959</v>
      </c>
      <c r="H87" s="16">
        <f t="shared" si="2"/>
        <v>0.0426514164585056</v>
      </c>
    </row>
    <row r="88" spans="1:8">
      <c r="A88" s="3" t="s">
        <v>9</v>
      </c>
      <c r="B88" s="6">
        <v>4993.06685762955</v>
      </c>
      <c r="C88">
        <v>0.806852070987576</v>
      </c>
      <c r="D88" s="6">
        <v>0.983478525546049</v>
      </c>
      <c r="E88" s="4">
        <f t="shared" si="1"/>
        <v>3962.10682672629</v>
      </c>
      <c r="F88" s="5">
        <v>4656.8693</v>
      </c>
      <c r="H88" s="16">
        <f t="shared" si="2"/>
        <v>0.149190889526084</v>
      </c>
    </row>
    <row r="89" spans="1:8">
      <c r="A89" s="3" t="s">
        <v>10</v>
      </c>
      <c r="B89" s="6">
        <v>5019.77775182018</v>
      </c>
      <c r="C89">
        <v>0.947109003781197</v>
      </c>
      <c r="D89" s="6">
        <v>0.991018243650389</v>
      </c>
      <c r="E89" s="4">
        <f t="shared" si="1"/>
        <v>4711.57495073994</v>
      </c>
      <c r="F89" s="5">
        <v>4772.4236</v>
      </c>
      <c r="H89" s="16">
        <f t="shared" si="2"/>
        <v>0.0127500520406581</v>
      </c>
    </row>
    <row r="90" spans="1:8">
      <c r="A90" s="3" t="s">
        <v>11</v>
      </c>
      <c r="B90" s="6">
        <v>5057.21438017812</v>
      </c>
      <c r="C90">
        <v>1.09693274149018</v>
      </c>
      <c r="D90" s="6">
        <v>1.00731641603325</v>
      </c>
      <c r="E90" s="4">
        <f t="shared" si="1"/>
        <v>5588.01129650052</v>
      </c>
      <c r="F90" s="5">
        <v>6481.1812</v>
      </c>
      <c r="H90" s="16">
        <f t="shared" si="2"/>
        <v>0.137809741147105</v>
      </c>
    </row>
    <row r="91" spans="1:8">
      <c r="A91" s="3" t="s">
        <v>12</v>
      </c>
      <c r="B91" s="6">
        <v>5050.14029057659</v>
      </c>
      <c r="C91">
        <v>1.2333551348381</v>
      </c>
      <c r="D91" s="6">
        <v>0.997868220015838</v>
      </c>
      <c r="E91" s="4">
        <f t="shared" si="1"/>
        <v>6215.33841913902</v>
      </c>
      <c r="F91" s="5">
        <v>6216.3173</v>
      </c>
      <c r="H91" s="16">
        <f t="shared" si="2"/>
        <v>0.000157469577845056</v>
      </c>
    </row>
    <row r="92" spans="1:8">
      <c r="A92" s="3" t="s">
        <v>13</v>
      </c>
      <c r="B92" s="6">
        <v>5030.97859641152</v>
      </c>
      <c r="C92">
        <v>1.25327859132285</v>
      </c>
      <c r="D92" s="6">
        <v>0.988291613771519</v>
      </c>
      <c r="E92" s="4">
        <f t="shared" si="1"/>
        <v>6231.39384340026</v>
      </c>
      <c r="F92" s="5">
        <v>5994.2926</v>
      </c>
      <c r="H92" s="16">
        <f t="shared" si="2"/>
        <v>0.0395544994584122</v>
      </c>
    </row>
    <row r="93" spans="1:8">
      <c r="A93" s="3" t="s">
        <v>14</v>
      </c>
      <c r="B93" s="6">
        <v>5001.84011218255</v>
      </c>
      <c r="C93">
        <v>1.24862780178855</v>
      </c>
      <c r="D93" s="6">
        <v>0.997039659666434</v>
      </c>
      <c r="E93" s="4">
        <f t="shared" si="1"/>
        <v>6226.94800623302</v>
      </c>
      <c r="F93" s="5">
        <v>7516.556</v>
      </c>
      <c r="H93" s="16">
        <f t="shared" si="2"/>
        <v>0.171568999654493</v>
      </c>
    </row>
    <row r="94" spans="1:9">
      <c r="A94" s="3" t="s">
        <v>20</v>
      </c>
      <c r="B94" s="6">
        <v>4979.70294908412</v>
      </c>
      <c r="C94">
        <v>1.12359739075792</v>
      </c>
      <c r="D94" s="6">
        <v>0.996986652128563</v>
      </c>
      <c r="E94" s="4">
        <f t="shared" si="1"/>
        <v>5578.32101285955</v>
      </c>
      <c r="H94">
        <f>(SUM(H86:H93))/8</f>
        <v>0.0724545583288849</v>
      </c>
      <c r="I94" s="16"/>
    </row>
    <row r="95" spans="1:5">
      <c r="A95" s="3" t="s">
        <v>21</v>
      </c>
      <c r="B95" s="6">
        <v>4959.81441635407</v>
      </c>
      <c r="C95">
        <v>0.948065842887311</v>
      </c>
      <c r="D95" s="6">
        <v>0.98494616615681</v>
      </c>
      <c r="E95" s="4">
        <f t="shared" si="1"/>
        <v>4631.44403653062</v>
      </c>
    </row>
    <row r="96" spans="1:5">
      <c r="A96" s="3" t="s">
        <v>22</v>
      </c>
      <c r="B96" s="6">
        <v>4951.43123465143</v>
      </c>
      <c r="C96">
        <v>0.867873257195144</v>
      </c>
      <c r="D96" s="6">
        <v>0.991753539925497</v>
      </c>
      <c r="E96" s="4">
        <f t="shared" si="1"/>
        <v>4261.77794349928</v>
      </c>
    </row>
    <row r="97" spans="1:5">
      <c r="A97" s="3" t="s">
        <v>23</v>
      </c>
      <c r="B97" s="6">
        <v>4985.47228307774</v>
      </c>
      <c r="C97">
        <v>0.835053915553941</v>
      </c>
      <c r="D97" s="6">
        <v>0.999232785441579</v>
      </c>
      <c r="E97" s="4">
        <f t="shared" si="1"/>
        <v>4159.94413067165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8"/>
  <sheetViews>
    <sheetView workbookViewId="0">
      <selection activeCell="H90" sqref="H90"/>
    </sheetView>
  </sheetViews>
  <sheetFormatPr defaultColWidth="8.88888888888889" defaultRowHeight="13.8"/>
  <cols>
    <col min="1" max="1" width="12.25" style="2" customWidth="1"/>
    <col min="2" max="3" width="14.1111111111111" customWidth="1"/>
    <col min="4" max="6" width="11.8888888888889" customWidth="1"/>
    <col min="7" max="7" width="9.66666666666667"/>
    <col min="8" max="8" width="12.8888888888889"/>
  </cols>
  <sheetData>
    <row r="1" spans="1:6">
      <c r="A1" s="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 s="2">
        <v>42736</v>
      </c>
      <c r="B2">
        <v>96220.2804866831</v>
      </c>
      <c r="C2">
        <v>1.27102708993835</v>
      </c>
      <c r="D2">
        <v>0.887782188050255</v>
      </c>
      <c r="E2" s="4">
        <f t="shared" ref="E2:E65" si="0">B2*C2*D2</f>
        <v>108574.5037</v>
      </c>
      <c r="F2" s="13">
        <v>108574.5037</v>
      </c>
    </row>
    <row r="3" spans="1:6">
      <c r="A3" s="2">
        <v>42767</v>
      </c>
      <c r="B3">
        <v>98053.6050337399</v>
      </c>
      <c r="C3">
        <v>1.21820086256968</v>
      </c>
      <c r="D3">
        <v>0.942692809322144</v>
      </c>
      <c r="E3" s="4">
        <f t="shared" si="0"/>
        <v>112603.7004</v>
      </c>
      <c r="F3" s="4">
        <v>112603.7004</v>
      </c>
    </row>
    <row r="4" spans="1:6">
      <c r="A4" s="2">
        <v>42795</v>
      </c>
      <c r="B4">
        <v>99619.3705871142</v>
      </c>
      <c r="C4">
        <v>0.9524960734346</v>
      </c>
      <c r="D4">
        <v>1.0355564594566</v>
      </c>
      <c r="E4" s="4">
        <f t="shared" si="0"/>
        <v>98260.9072000002</v>
      </c>
      <c r="F4" s="4">
        <v>98260.9072</v>
      </c>
    </row>
    <row r="5" spans="1:6">
      <c r="A5" s="2">
        <v>42826</v>
      </c>
      <c r="B5">
        <v>101578.83091911</v>
      </c>
      <c r="C5">
        <v>0.866750711445911</v>
      </c>
      <c r="D5">
        <v>1.08606555816484</v>
      </c>
      <c r="E5" s="4">
        <f t="shared" si="0"/>
        <v>95621.0390000003</v>
      </c>
      <c r="F5" s="4">
        <v>95621.039</v>
      </c>
    </row>
    <row r="6" spans="1:6">
      <c r="A6" s="2">
        <v>42856</v>
      </c>
      <c r="B6">
        <v>103264.637951986</v>
      </c>
      <c r="C6">
        <v>0.780497687009749</v>
      </c>
      <c r="D6">
        <v>0.978529098390891</v>
      </c>
      <c r="E6" s="4">
        <f t="shared" si="0"/>
        <v>78867.3034000001</v>
      </c>
      <c r="F6" s="4">
        <v>78867.3034</v>
      </c>
    </row>
    <row r="7" spans="1:6">
      <c r="A7" s="2">
        <v>42887</v>
      </c>
      <c r="B7">
        <v>104727.993175839</v>
      </c>
      <c r="C7">
        <v>0.86335754656485</v>
      </c>
      <c r="D7">
        <v>0.973179516201791</v>
      </c>
      <c r="E7" s="4">
        <f t="shared" si="0"/>
        <v>87992.6567000002</v>
      </c>
      <c r="F7" s="4">
        <v>87992.6567</v>
      </c>
    </row>
    <row r="8" spans="1:6">
      <c r="A8" s="2">
        <v>42917</v>
      </c>
      <c r="B8">
        <v>105859.515616266</v>
      </c>
      <c r="C8">
        <v>0.978711408345074</v>
      </c>
      <c r="D8">
        <v>0.950309175060733</v>
      </c>
      <c r="E8" s="4">
        <f t="shared" si="0"/>
        <v>98457.6521999996</v>
      </c>
      <c r="F8" s="4">
        <v>98457.6522</v>
      </c>
    </row>
    <row r="9" spans="1:6">
      <c r="A9" s="2">
        <v>42948</v>
      </c>
      <c r="B9">
        <v>106552.142409134</v>
      </c>
      <c r="C9">
        <v>1.3130137394612</v>
      </c>
      <c r="D9">
        <v>1.21643199366466</v>
      </c>
      <c r="E9" s="4">
        <f t="shared" si="0"/>
        <v>170184.221</v>
      </c>
      <c r="F9" s="4">
        <v>170184.221</v>
      </c>
    </row>
    <row r="10" spans="1:6">
      <c r="A10" s="2">
        <v>42979</v>
      </c>
      <c r="B10">
        <v>106846.472706784</v>
      </c>
      <c r="C10">
        <v>1.14530865159267</v>
      </c>
      <c r="D10">
        <v>0.994578631913837</v>
      </c>
      <c r="E10" s="4">
        <f t="shared" si="0"/>
        <v>121708.764899999</v>
      </c>
      <c r="F10" s="4">
        <v>121708.7649</v>
      </c>
    </row>
    <row r="11" spans="1:6">
      <c r="A11" s="2">
        <v>43009</v>
      </c>
      <c r="B11">
        <v>106792.424887065</v>
      </c>
      <c r="C11">
        <v>0.780900331766007</v>
      </c>
      <c r="D11">
        <v>1.00575545595779</v>
      </c>
      <c r="E11" s="4">
        <f t="shared" si="0"/>
        <v>83874.2118999993</v>
      </c>
      <c r="F11" s="4">
        <v>83874.2119</v>
      </c>
    </row>
    <row r="12" spans="1:6">
      <c r="A12" s="2">
        <v>43040</v>
      </c>
      <c r="B12">
        <v>106479.420201921</v>
      </c>
      <c r="C12">
        <v>0.819761392522108</v>
      </c>
      <c r="D12">
        <v>0.98856955588881</v>
      </c>
      <c r="E12" s="4">
        <f t="shared" si="0"/>
        <v>86289.9803999996</v>
      </c>
      <c r="F12" s="4">
        <v>86289.9804</v>
      </c>
    </row>
    <row r="13" spans="1:6">
      <c r="A13" s="2">
        <v>43070</v>
      </c>
      <c r="B13">
        <v>106091.667709475</v>
      </c>
      <c r="C13">
        <v>1.01434017259854</v>
      </c>
      <c r="D13">
        <v>0.902042940305183</v>
      </c>
      <c r="E13" s="4">
        <f t="shared" si="0"/>
        <v>97071.5834999999</v>
      </c>
      <c r="F13" s="4">
        <v>97071.5835</v>
      </c>
    </row>
    <row r="14" spans="1:6">
      <c r="A14" s="2">
        <v>43101</v>
      </c>
      <c r="B14">
        <v>105811.103311858</v>
      </c>
      <c r="C14">
        <v>1.2852947906477</v>
      </c>
      <c r="D14">
        <v>0.987598140589884</v>
      </c>
      <c r="E14" s="4">
        <f t="shared" si="0"/>
        <v>134311.8261</v>
      </c>
      <c r="F14" s="4">
        <v>134311.8261</v>
      </c>
    </row>
    <row r="15" spans="1:6">
      <c r="A15" s="2">
        <v>43132</v>
      </c>
      <c r="B15">
        <v>105695.537803571</v>
      </c>
      <c r="C15">
        <v>1.20302571693339</v>
      </c>
      <c r="D15">
        <v>1.12308015519411</v>
      </c>
      <c r="E15" s="4">
        <f t="shared" si="0"/>
        <v>142804.639599999</v>
      </c>
      <c r="F15" s="4">
        <v>142804.6396</v>
      </c>
    </row>
    <row r="16" spans="1:6">
      <c r="A16" s="2">
        <v>43160</v>
      </c>
      <c r="B16">
        <v>105746.661129105</v>
      </c>
      <c r="C16">
        <v>0.936226599957359</v>
      </c>
      <c r="D16">
        <v>0.960266537558754</v>
      </c>
      <c r="E16" s="4">
        <f t="shared" si="0"/>
        <v>95069.1115000004</v>
      </c>
      <c r="F16" s="4">
        <v>95069.1115</v>
      </c>
    </row>
    <row r="17" spans="1:6">
      <c r="A17" s="2">
        <v>43191</v>
      </c>
      <c r="B17">
        <v>105942.383298453</v>
      </c>
      <c r="C17">
        <v>0.859083385494442</v>
      </c>
      <c r="D17">
        <v>0.962131876912496</v>
      </c>
      <c r="E17" s="4">
        <f t="shared" si="0"/>
        <v>87566.8369000003</v>
      </c>
      <c r="F17" s="4">
        <v>87566.8369</v>
      </c>
    </row>
    <row r="18" spans="1:6">
      <c r="A18" s="2">
        <v>43221</v>
      </c>
      <c r="B18">
        <v>106368.195359668</v>
      </c>
      <c r="C18">
        <v>0.778110338053483</v>
      </c>
      <c r="D18">
        <v>1.0247893432068</v>
      </c>
      <c r="E18" s="4">
        <f t="shared" si="0"/>
        <v>84817.9119999997</v>
      </c>
      <c r="F18" s="4">
        <v>84817.912</v>
      </c>
    </row>
    <row r="19" spans="1:6">
      <c r="A19" s="2">
        <v>43252</v>
      </c>
      <c r="B19">
        <v>107147.770560521</v>
      </c>
      <c r="C19">
        <v>0.863380980581175</v>
      </c>
      <c r="D19">
        <v>1.03072206076438</v>
      </c>
      <c r="E19" s="4">
        <f t="shared" si="0"/>
        <v>95351.4249999996</v>
      </c>
      <c r="F19" s="4">
        <v>95351.425</v>
      </c>
    </row>
    <row r="20" spans="1:6">
      <c r="A20" s="2">
        <v>43282</v>
      </c>
      <c r="B20">
        <v>108327.069821482</v>
      </c>
      <c r="C20">
        <v>1.00546457524468</v>
      </c>
      <c r="D20">
        <v>0.986341493965333</v>
      </c>
      <c r="E20" s="4">
        <f t="shared" si="0"/>
        <v>107431.36</v>
      </c>
      <c r="F20" s="4">
        <v>107431.36</v>
      </c>
    </row>
    <row r="21" spans="1:6">
      <c r="A21" s="2">
        <v>43313</v>
      </c>
      <c r="B21">
        <v>109919.73860642</v>
      </c>
      <c r="C21">
        <v>1.31316321682841</v>
      </c>
      <c r="D21">
        <v>0.971390402029136</v>
      </c>
      <c r="E21" s="4">
        <f t="shared" si="0"/>
        <v>140212.975</v>
      </c>
      <c r="F21" s="4">
        <v>140212.975</v>
      </c>
    </row>
    <row r="22" spans="1:6">
      <c r="A22" s="2">
        <v>43344</v>
      </c>
      <c r="B22">
        <v>111837.578574469</v>
      </c>
      <c r="C22">
        <v>1.1404653189263</v>
      </c>
      <c r="D22">
        <v>1.34359171843641</v>
      </c>
      <c r="E22" s="4">
        <f t="shared" si="0"/>
        <v>171370.931300001</v>
      </c>
      <c r="F22" s="4">
        <v>171370.9313</v>
      </c>
    </row>
    <row r="23" spans="1:6">
      <c r="A23" s="2">
        <v>43374</v>
      </c>
      <c r="B23">
        <v>113972.008396463</v>
      </c>
      <c r="C23">
        <v>0.78481556109689</v>
      </c>
      <c r="D23">
        <v>0.968838312734963</v>
      </c>
      <c r="E23" s="4">
        <f t="shared" si="0"/>
        <v>86659.6860999998</v>
      </c>
      <c r="F23" s="4">
        <v>86659.6861</v>
      </c>
    </row>
    <row r="24" spans="1:6">
      <c r="A24" s="2">
        <v>43405</v>
      </c>
      <c r="B24">
        <v>116078.239782195</v>
      </c>
      <c r="C24">
        <v>0.827234230301258</v>
      </c>
      <c r="D24">
        <v>0.964680684952999</v>
      </c>
      <c r="E24" s="4">
        <f t="shared" si="0"/>
        <v>92632.3952000003</v>
      </c>
      <c r="F24" s="4">
        <v>92632.3952</v>
      </c>
    </row>
    <row r="25" spans="1:6">
      <c r="A25" s="2">
        <v>43435</v>
      </c>
      <c r="B25">
        <v>117919.428764116</v>
      </c>
      <c r="C25">
        <v>1.02545967697595</v>
      </c>
      <c r="D25">
        <v>0.949651554755965</v>
      </c>
      <c r="E25" s="4">
        <f t="shared" si="0"/>
        <v>114833.403800001</v>
      </c>
      <c r="F25" s="4">
        <v>114833.4038</v>
      </c>
    </row>
    <row r="26" spans="1:6">
      <c r="A26" s="2">
        <v>43466</v>
      </c>
      <c r="B26">
        <v>119284.530899917</v>
      </c>
      <c r="C26">
        <v>1.29915639378462</v>
      </c>
      <c r="D26">
        <v>1.08486987043143</v>
      </c>
      <c r="E26" s="4">
        <f t="shared" si="0"/>
        <v>168121.4821</v>
      </c>
      <c r="F26" s="4">
        <v>168121.4821</v>
      </c>
    </row>
    <row r="27" spans="1:6">
      <c r="A27" s="2">
        <v>43497</v>
      </c>
      <c r="B27">
        <v>119998.649824802</v>
      </c>
      <c r="C27">
        <v>1.18520298732154</v>
      </c>
      <c r="D27">
        <v>0.989705436985233</v>
      </c>
      <c r="E27" s="4">
        <f t="shared" si="0"/>
        <v>140758.6371</v>
      </c>
      <c r="F27" s="4">
        <v>140758.6371</v>
      </c>
    </row>
    <row r="28" spans="1:6">
      <c r="A28" s="2">
        <v>43525</v>
      </c>
      <c r="B28">
        <v>119984.996810593</v>
      </c>
      <c r="C28">
        <v>0.898797991736057</v>
      </c>
      <c r="D28">
        <v>1.10053515109397</v>
      </c>
      <c r="E28" s="4">
        <f t="shared" si="0"/>
        <v>118684.213499999</v>
      </c>
      <c r="F28" s="4">
        <v>118684.2135</v>
      </c>
    </row>
    <row r="29" spans="1:6">
      <c r="A29" s="2">
        <v>43556</v>
      </c>
      <c r="B29">
        <v>119310.304888704</v>
      </c>
      <c r="C29">
        <v>0.835652057602926</v>
      </c>
      <c r="D29">
        <v>1.02942380310044</v>
      </c>
      <c r="E29" s="4">
        <f t="shared" si="0"/>
        <v>102635.5109</v>
      </c>
      <c r="F29" s="4">
        <v>102635.5109</v>
      </c>
    </row>
    <row r="30" spans="1:6">
      <c r="A30" s="2">
        <v>43586</v>
      </c>
      <c r="B30">
        <v>118110.660941026</v>
      </c>
      <c r="C30">
        <v>0.770858804760539</v>
      </c>
      <c r="D30">
        <v>1.01585668873868</v>
      </c>
      <c r="E30" s="4">
        <f t="shared" si="0"/>
        <v>92490.3412</v>
      </c>
      <c r="F30" s="4">
        <v>92490.3412</v>
      </c>
    </row>
    <row r="31" spans="1:6">
      <c r="A31" s="2">
        <v>43617</v>
      </c>
      <c r="B31">
        <v>116606.080949779</v>
      </c>
      <c r="C31">
        <v>0.868175985519452</v>
      </c>
      <c r="D31">
        <v>0.981104872638608</v>
      </c>
      <c r="E31" s="4">
        <f t="shared" si="0"/>
        <v>99321.7586000002</v>
      </c>
      <c r="F31" s="4">
        <v>99321.7586</v>
      </c>
    </row>
    <row r="32" spans="1:6">
      <c r="A32" s="2">
        <v>43647</v>
      </c>
      <c r="B32">
        <v>115114.699119636</v>
      </c>
      <c r="C32">
        <v>1.07249752733318</v>
      </c>
      <c r="D32">
        <v>0.89967557610327</v>
      </c>
      <c r="E32" s="4">
        <f t="shared" si="0"/>
        <v>111074.1537</v>
      </c>
      <c r="F32" s="4">
        <v>111074.1537</v>
      </c>
    </row>
    <row r="33" spans="1:6">
      <c r="A33" s="2">
        <v>43678</v>
      </c>
      <c r="B33">
        <v>114006.486322344</v>
      </c>
      <c r="C33">
        <v>1.30849890486263</v>
      </c>
      <c r="D33">
        <v>0.877484309323264</v>
      </c>
      <c r="E33" s="4">
        <f t="shared" si="0"/>
        <v>130900.794899999</v>
      </c>
      <c r="F33" s="4">
        <v>130900.7949</v>
      </c>
    </row>
    <row r="34" spans="1:6">
      <c r="A34" s="2">
        <v>43709</v>
      </c>
      <c r="B34">
        <v>113574.020640534</v>
      </c>
      <c r="C34">
        <v>1.13323254376436</v>
      </c>
      <c r="D34">
        <v>1.26588036111106</v>
      </c>
      <c r="E34" s="4">
        <f t="shared" si="0"/>
        <v>162926.114600001</v>
      </c>
      <c r="F34" s="4">
        <v>162926.1146</v>
      </c>
    </row>
    <row r="35" spans="1:6">
      <c r="A35" s="2">
        <v>43739</v>
      </c>
      <c r="B35">
        <v>113898.556160427</v>
      </c>
      <c r="C35">
        <v>0.783375905704933</v>
      </c>
      <c r="D35">
        <v>1.03105694441166</v>
      </c>
      <c r="E35" s="4">
        <f t="shared" si="0"/>
        <v>91996.4523999997</v>
      </c>
      <c r="F35" s="4">
        <v>91996.4524</v>
      </c>
    </row>
    <row r="36" spans="1:6">
      <c r="A36" s="2">
        <v>43770</v>
      </c>
      <c r="B36">
        <v>114955.033764637</v>
      </c>
      <c r="C36">
        <v>0.832008308840707</v>
      </c>
      <c r="D36">
        <v>1.00732360534819</v>
      </c>
      <c r="E36" s="4">
        <f t="shared" si="0"/>
        <v>96343.9987999995</v>
      </c>
      <c r="F36" s="4">
        <v>96343.9988</v>
      </c>
    </row>
    <row r="37" spans="1:6">
      <c r="A37" s="2">
        <v>43800</v>
      </c>
      <c r="B37">
        <v>116552.633229732</v>
      </c>
      <c r="C37">
        <v>1.05122634403018</v>
      </c>
      <c r="D37">
        <v>0.976679504357037</v>
      </c>
      <c r="E37" s="4">
        <f t="shared" si="0"/>
        <v>119665.8968</v>
      </c>
      <c r="F37" s="4">
        <v>119665.8968</v>
      </c>
    </row>
    <row r="38" spans="1:6">
      <c r="A38" s="2">
        <v>43831</v>
      </c>
      <c r="B38">
        <v>118324.924049045</v>
      </c>
      <c r="C38">
        <v>1.30892471006358</v>
      </c>
      <c r="D38">
        <v>0.943237648086056</v>
      </c>
      <c r="E38" s="4">
        <f t="shared" si="0"/>
        <v>146087.153700001</v>
      </c>
      <c r="F38" s="4">
        <v>146087.1537</v>
      </c>
    </row>
    <row r="39" spans="1:6">
      <c r="A39" s="2">
        <v>43862</v>
      </c>
      <c r="B39">
        <v>119931.450494931</v>
      </c>
      <c r="C39">
        <v>1.14793459924847</v>
      </c>
      <c r="D39">
        <v>1.03143534846685</v>
      </c>
      <c r="E39" s="4">
        <f t="shared" si="0"/>
        <v>142001.2748</v>
      </c>
      <c r="F39" s="4">
        <v>142001.2748</v>
      </c>
    </row>
    <row r="40" spans="1:6">
      <c r="A40" s="2">
        <v>43891</v>
      </c>
      <c r="B40">
        <v>121374.401335475</v>
      </c>
      <c r="C40">
        <v>0.852507199651718</v>
      </c>
      <c r="D40">
        <v>1.06174935330037</v>
      </c>
      <c r="E40" s="4">
        <f t="shared" si="0"/>
        <v>109861.914099999</v>
      </c>
      <c r="F40" s="4">
        <v>109861.9141</v>
      </c>
    </row>
    <row r="41" spans="1:6">
      <c r="A41" s="2">
        <v>43922</v>
      </c>
      <c r="B41">
        <v>122710.126060432</v>
      </c>
      <c r="C41">
        <v>0.811553069287022</v>
      </c>
      <c r="D41">
        <v>1.00000238350355</v>
      </c>
      <c r="E41" s="4">
        <f t="shared" si="0"/>
        <v>99586.0167999998</v>
      </c>
      <c r="F41" s="4">
        <v>99586.0168</v>
      </c>
    </row>
    <row r="42" spans="1:6">
      <c r="A42" s="2">
        <v>43952</v>
      </c>
      <c r="B42">
        <v>124027.413001712</v>
      </c>
      <c r="C42">
        <v>0.757459304266875</v>
      </c>
      <c r="D42">
        <v>1.03550987219068</v>
      </c>
      <c r="E42" s="4">
        <f t="shared" si="0"/>
        <v>97281.7184</v>
      </c>
      <c r="F42" s="4">
        <v>97281.7184</v>
      </c>
    </row>
    <row r="43" spans="1:6">
      <c r="A43" s="2">
        <v>43983</v>
      </c>
      <c r="B43">
        <v>125368.607472879</v>
      </c>
      <c r="C43">
        <v>0.876968157710019</v>
      </c>
      <c r="D43">
        <v>1.02618355184513</v>
      </c>
      <c r="E43" s="4">
        <f t="shared" si="0"/>
        <v>112823.008400001</v>
      </c>
      <c r="F43" s="4">
        <v>112823.0084</v>
      </c>
    </row>
    <row r="44" spans="1:6">
      <c r="A44" s="2">
        <v>44013</v>
      </c>
      <c r="B44">
        <v>126783.00845217</v>
      </c>
      <c r="C44">
        <v>1.16805651943515</v>
      </c>
      <c r="D44">
        <v>0.945157383649566</v>
      </c>
      <c r="E44" s="4">
        <f t="shared" si="0"/>
        <v>139968.0919</v>
      </c>
      <c r="F44" s="4">
        <v>139968.0919</v>
      </c>
    </row>
    <row r="45" spans="1:6">
      <c r="A45" s="2">
        <v>44044</v>
      </c>
      <c r="B45">
        <v>128201.574874304</v>
      </c>
      <c r="C45">
        <v>1.31868051661753</v>
      </c>
      <c r="D45">
        <v>0.898736329225294</v>
      </c>
      <c r="E45" s="4">
        <f t="shared" si="0"/>
        <v>151937.5948</v>
      </c>
      <c r="F45" s="4">
        <v>151937.5948</v>
      </c>
    </row>
    <row r="46" spans="1:6">
      <c r="A46" s="2">
        <v>44075</v>
      </c>
      <c r="B46">
        <v>129455.967086561</v>
      </c>
      <c r="C46">
        <v>1.11179821006665</v>
      </c>
      <c r="D46">
        <v>1.24349001465097</v>
      </c>
      <c r="E46" s="4">
        <f t="shared" si="0"/>
        <v>178974.1655</v>
      </c>
      <c r="F46" s="4">
        <v>178974.1655</v>
      </c>
    </row>
    <row r="47" spans="1:6">
      <c r="A47" s="2">
        <v>44105</v>
      </c>
      <c r="B47">
        <v>130502.313454026</v>
      </c>
      <c r="C47">
        <v>0.78208061088087</v>
      </c>
      <c r="D47">
        <v>0.971026122157011</v>
      </c>
      <c r="E47" s="4">
        <f t="shared" si="0"/>
        <v>99106.1586000001</v>
      </c>
      <c r="F47" s="4">
        <v>99106.1586</v>
      </c>
    </row>
    <row r="48" spans="1:6">
      <c r="A48" s="2">
        <v>44136</v>
      </c>
      <c r="B48">
        <v>131346.068333103</v>
      </c>
      <c r="C48">
        <v>0.836629683165736</v>
      </c>
      <c r="D48">
        <v>0.990370359397953</v>
      </c>
      <c r="E48" s="4">
        <f t="shared" si="0"/>
        <v>108829.8374</v>
      </c>
      <c r="F48" s="4">
        <v>108829.8374</v>
      </c>
    </row>
    <row r="49" spans="1:6">
      <c r="A49" s="2">
        <v>44166</v>
      </c>
      <c r="B49">
        <v>132061.221661094</v>
      </c>
      <c r="C49">
        <v>1.0743228654342</v>
      </c>
      <c r="D49">
        <v>1.1561928289953</v>
      </c>
      <c r="E49" s="4">
        <f t="shared" si="0"/>
        <v>164036.4648</v>
      </c>
      <c r="F49" s="4">
        <v>164036.4648</v>
      </c>
    </row>
    <row r="50" spans="1:6">
      <c r="A50" s="2">
        <v>44197</v>
      </c>
      <c r="B50">
        <v>132869.895625597</v>
      </c>
      <c r="C50">
        <v>1.29443850099001</v>
      </c>
      <c r="D50">
        <v>1.13398967822363</v>
      </c>
      <c r="E50" s="4">
        <f t="shared" si="0"/>
        <v>195037.048999999</v>
      </c>
      <c r="F50" s="5">
        <v>195037.049</v>
      </c>
    </row>
    <row r="51" spans="1:6">
      <c r="A51" s="2">
        <v>44228</v>
      </c>
      <c r="B51">
        <v>133923.985721044</v>
      </c>
      <c r="C51">
        <v>1.1203281490972</v>
      </c>
      <c r="D51">
        <v>0.865867089303543</v>
      </c>
      <c r="E51" s="4">
        <f t="shared" si="0"/>
        <v>129913.6686</v>
      </c>
      <c r="F51" s="5">
        <v>129913.6686</v>
      </c>
    </row>
    <row r="52" spans="1:6">
      <c r="A52" s="2">
        <v>44256</v>
      </c>
      <c r="B52">
        <v>135171.820768619</v>
      </c>
      <c r="C52">
        <v>0.806684296048252</v>
      </c>
      <c r="D52">
        <v>0.905198709691663</v>
      </c>
      <c r="E52" s="4">
        <f t="shared" si="0"/>
        <v>98703.7590000003</v>
      </c>
      <c r="F52" s="5">
        <v>98703.759</v>
      </c>
    </row>
    <row r="53" spans="1:6">
      <c r="A53" s="2">
        <v>44287</v>
      </c>
      <c r="B53">
        <v>136674.449958025</v>
      </c>
      <c r="C53">
        <v>0.787579268206885</v>
      </c>
      <c r="D53">
        <v>0.992291728474356</v>
      </c>
      <c r="E53" s="4">
        <f t="shared" si="0"/>
        <v>106812.2298</v>
      </c>
      <c r="F53" s="5">
        <v>106812.2298</v>
      </c>
    </row>
    <row r="54" spans="1:6">
      <c r="A54" s="2">
        <v>44317</v>
      </c>
      <c r="B54">
        <v>138467.745060626</v>
      </c>
      <c r="C54">
        <v>0.744956070709243</v>
      </c>
      <c r="D54">
        <v>0.986926777790724</v>
      </c>
      <c r="E54" s="4">
        <f t="shared" si="0"/>
        <v>101803.8532</v>
      </c>
      <c r="F54" s="5">
        <v>101803.8532</v>
      </c>
    </row>
    <row r="55" spans="1:6">
      <c r="A55" s="2">
        <v>44348</v>
      </c>
      <c r="B55">
        <v>140493.971550936</v>
      </c>
      <c r="C55">
        <v>0.892819573612505</v>
      </c>
      <c r="D55">
        <v>0.936351413023275</v>
      </c>
      <c r="E55" s="4">
        <f t="shared" si="0"/>
        <v>117451.9584</v>
      </c>
      <c r="F55" s="5">
        <v>117451.9584</v>
      </c>
    </row>
    <row r="56" spans="1:6">
      <c r="A56" s="2">
        <v>44378</v>
      </c>
      <c r="B56">
        <v>142636.104625967</v>
      </c>
      <c r="C56">
        <v>1.26950578430902</v>
      </c>
      <c r="D56">
        <v>1.02153377500501</v>
      </c>
      <c r="E56" s="4">
        <f t="shared" si="0"/>
        <v>184976.638999999</v>
      </c>
      <c r="F56" s="5">
        <v>184976.639</v>
      </c>
    </row>
    <row r="57" spans="1:6">
      <c r="A57" s="2">
        <v>44409</v>
      </c>
      <c r="B57">
        <v>144664.57654125</v>
      </c>
      <c r="C57">
        <v>1.32769503462435</v>
      </c>
      <c r="D57">
        <v>1.06687857664528</v>
      </c>
      <c r="E57" s="4">
        <f t="shared" si="0"/>
        <v>204915.837599999</v>
      </c>
      <c r="F57" s="5">
        <v>204915.8376</v>
      </c>
    </row>
    <row r="58" customFormat="1" spans="1:6">
      <c r="A58" s="2">
        <v>44440</v>
      </c>
      <c r="B58" s="14">
        <v>146403.362430142</v>
      </c>
      <c r="C58" s="15">
        <v>1.08828447876637</v>
      </c>
      <c r="D58" s="14">
        <v>0.751052366423551</v>
      </c>
      <c r="E58" s="4">
        <f t="shared" si="0"/>
        <v>119664.0522</v>
      </c>
      <c r="F58" s="5">
        <v>119664.0522</v>
      </c>
    </row>
    <row r="59" customFormat="1" spans="1:6">
      <c r="A59" s="2">
        <v>44470</v>
      </c>
      <c r="B59" s="14">
        <v>147768.075057033</v>
      </c>
      <c r="C59" s="15">
        <v>0.772983169489688</v>
      </c>
      <c r="D59" s="14">
        <v>1.0813701972515</v>
      </c>
      <c r="E59" s="4">
        <f t="shared" si="0"/>
        <v>123516.5208</v>
      </c>
      <c r="F59" s="5">
        <v>123516.5208</v>
      </c>
    </row>
    <row r="60" customFormat="1" spans="1:6">
      <c r="A60" s="2">
        <v>44501</v>
      </c>
      <c r="B60" s="14">
        <v>148877.161276073</v>
      </c>
      <c r="C60" s="15">
        <v>0.834125883733287</v>
      </c>
      <c r="D60" s="14">
        <v>1.07395602390639</v>
      </c>
      <c r="E60" s="4">
        <f t="shared" si="0"/>
        <v>133366.3224</v>
      </c>
      <c r="F60" s="5">
        <v>133366.3224</v>
      </c>
    </row>
    <row r="61" customFormat="1" spans="1:6">
      <c r="A61" s="2">
        <v>44531</v>
      </c>
      <c r="B61" s="14">
        <v>149828.434195635</v>
      </c>
      <c r="C61" s="15">
        <v>1.10565294326922</v>
      </c>
      <c r="D61" s="14">
        <v>0.895266279029433</v>
      </c>
      <c r="E61" s="4">
        <f t="shared" si="0"/>
        <v>148308.2444</v>
      </c>
      <c r="F61" s="5">
        <v>148308.2444</v>
      </c>
    </row>
    <row r="62" spans="1:6">
      <c r="A62" s="2">
        <v>44562</v>
      </c>
      <c r="B62">
        <v>150675.850931205</v>
      </c>
      <c r="C62">
        <v>1.2798396593979</v>
      </c>
      <c r="D62">
        <v>0.930299227172713</v>
      </c>
      <c r="E62" s="4">
        <f t="shared" si="0"/>
        <v>179399.7679</v>
      </c>
      <c r="F62" s="5">
        <v>179399.7679</v>
      </c>
    </row>
    <row r="63" spans="1:6">
      <c r="A63" s="2">
        <v>44593</v>
      </c>
      <c r="B63">
        <v>151635.979358591</v>
      </c>
      <c r="C63">
        <v>1.0870587882492</v>
      </c>
      <c r="D63">
        <v>1.08054291199032</v>
      </c>
      <c r="E63" s="4">
        <f t="shared" si="0"/>
        <v>178113.694000001</v>
      </c>
      <c r="F63" s="5">
        <v>178113.694</v>
      </c>
    </row>
    <row r="64" spans="1:6">
      <c r="A64" s="2">
        <v>44621</v>
      </c>
      <c r="B64">
        <v>152842.582982222</v>
      </c>
      <c r="C64">
        <v>0.770900923304996</v>
      </c>
      <c r="D64">
        <v>0.924579939821565</v>
      </c>
      <c r="E64" s="4">
        <f t="shared" si="0"/>
        <v>108940.0075</v>
      </c>
      <c r="F64" s="5">
        <v>108940.0075</v>
      </c>
    </row>
    <row r="65" spans="1:6">
      <c r="A65" s="2">
        <v>44652</v>
      </c>
      <c r="B65">
        <v>154134.483267006</v>
      </c>
      <c r="C65">
        <v>0.774922616661353</v>
      </c>
      <c r="D65">
        <v>0.954069975840859</v>
      </c>
      <c r="E65" s="4">
        <f t="shared" si="0"/>
        <v>113956.3095</v>
      </c>
      <c r="F65" s="5">
        <v>113956.3095</v>
      </c>
    </row>
    <row r="66" spans="1:6">
      <c r="A66" s="2">
        <v>44682</v>
      </c>
      <c r="B66">
        <v>155265.950680259</v>
      </c>
      <c r="C66">
        <v>0.732234885352369</v>
      </c>
      <c r="D66">
        <v>0.970462501033862</v>
      </c>
      <c r="E66" s="4">
        <f t="shared" ref="E66:E97" si="1">B66*C66*D66</f>
        <v>110332.9935</v>
      </c>
      <c r="F66" s="5">
        <v>110332.9935</v>
      </c>
    </row>
    <row r="67" spans="1:6">
      <c r="A67" s="2">
        <v>44713</v>
      </c>
      <c r="B67">
        <v>156051.680558224</v>
      </c>
      <c r="C67">
        <v>0.903527360647148</v>
      </c>
      <c r="D67">
        <v>1.0276859377392</v>
      </c>
      <c r="E67" s="4">
        <f t="shared" si="1"/>
        <v>144900.596200001</v>
      </c>
      <c r="F67" s="5">
        <v>144900.5962</v>
      </c>
    </row>
    <row r="68" spans="1:6">
      <c r="A68" s="2">
        <v>44743</v>
      </c>
      <c r="B68">
        <v>156268.220939103</v>
      </c>
      <c r="C68">
        <v>1.34838104675154</v>
      </c>
      <c r="D68">
        <v>1.1443991608268</v>
      </c>
      <c r="E68" s="4">
        <f t="shared" si="1"/>
        <v>241135.325599999</v>
      </c>
      <c r="F68" s="5">
        <v>241135.3256</v>
      </c>
    </row>
    <row r="69" spans="1:6">
      <c r="A69" s="2">
        <v>44774</v>
      </c>
      <c r="B69">
        <v>155764.935673275</v>
      </c>
      <c r="C69">
        <v>1.35146704552522</v>
      </c>
      <c r="D69">
        <v>1.61737377315411</v>
      </c>
      <c r="E69" s="4">
        <f t="shared" si="1"/>
        <v>340475.257299999</v>
      </c>
      <c r="F69" s="5">
        <v>340475.2573</v>
      </c>
    </row>
    <row r="70" spans="1:6">
      <c r="A70" s="2">
        <v>44805</v>
      </c>
      <c r="B70">
        <v>154683.089113256</v>
      </c>
      <c r="C70">
        <v>1.06134206596078</v>
      </c>
      <c r="D70">
        <v>0.782362048177604</v>
      </c>
      <c r="E70" s="4">
        <f t="shared" si="1"/>
        <v>128441.6835</v>
      </c>
      <c r="F70" s="5">
        <v>128441.6835</v>
      </c>
    </row>
    <row r="71" spans="1:6">
      <c r="A71" s="2">
        <v>44835</v>
      </c>
      <c r="B71">
        <v>153413.062566526</v>
      </c>
      <c r="C71">
        <v>0.768250474688181</v>
      </c>
      <c r="D71">
        <v>0.919579197923398</v>
      </c>
      <c r="E71" s="4">
        <f t="shared" si="1"/>
        <v>108381.2899</v>
      </c>
      <c r="F71" s="5">
        <v>108381.2899</v>
      </c>
    </row>
    <row r="72" spans="1:6">
      <c r="A72" s="2">
        <v>44866</v>
      </c>
      <c r="B72">
        <v>152287.182516772</v>
      </c>
      <c r="C72">
        <v>0.832728354637237</v>
      </c>
      <c r="D72">
        <v>0.938067276372156</v>
      </c>
      <c r="E72" s="4">
        <f t="shared" si="1"/>
        <v>118959.9275</v>
      </c>
      <c r="F72" s="5">
        <v>118959.9275</v>
      </c>
    </row>
    <row r="73" spans="1:6">
      <c r="A73" s="2">
        <v>44896</v>
      </c>
      <c r="B73">
        <v>151663.581273433</v>
      </c>
      <c r="C73">
        <v>1.11349016060151</v>
      </c>
      <c r="D73">
        <v>1.03399210097192</v>
      </c>
      <c r="E73" s="4">
        <f t="shared" si="1"/>
        <v>174616.352300001</v>
      </c>
      <c r="F73" s="5">
        <v>174616.3523</v>
      </c>
    </row>
    <row r="74" spans="1:6">
      <c r="A74" s="2">
        <v>44927</v>
      </c>
      <c r="B74">
        <v>151739.801303659</v>
      </c>
      <c r="C74">
        <v>1.26988677226285</v>
      </c>
      <c r="D74">
        <v>0.942030921078372</v>
      </c>
      <c r="E74" s="4">
        <f t="shared" si="1"/>
        <v>181522.1675</v>
      </c>
      <c r="F74" s="5">
        <v>181522.1675</v>
      </c>
    </row>
    <row r="75" spans="1:6">
      <c r="A75" s="2">
        <v>44958</v>
      </c>
      <c r="B75">
        <v>152466.835592336</v>
      </c>
      <c r="C75">
        <v>1.07516880806038</v>
      </c>
      <c r="D75">
        <v>0.962363564015427</v>
      </c>
      <c r="E75" s="4">
        <f t="shared" si="1"/>
        <v>157757.935799999</v>
      </c>
      <c r="F75" s="5">
        <v>157757.9358</v>
      </c>
    </row>
    <row r="76" spans="1:6">
      <c r="A76" s="2">
        <v>44986</v>
      </c>
      <c r="B76">
        <v>153742.759569634</v>
      </c>
      <c r="C76">
        <v>0.746774315582113</v>
      </c>
      <c r="D76">
        <v>0.994779199717404</v>
      </c>
      <c r="E76" s="4">
        <f t="shared" si="1"/>
        <v>114211.738</v>
      </c>
      <c r="F76" s="5">
        <v>114211.738</v>
      </c>
    </row>
    <row r="77" spans="1:6">
      <c r="A77" s="2">
        <v>45017</v>
      </c>
      <c r="B77">
        <v>155453.878620014</v>
      </c>
      <c r="C77">
        <v>0.766101323431153</v>
      </c>
      <c r="D77">
        <v>1.0190243106288</v>
      </c>
      <c r="E77" s="4">
        <f t="shared" si="1"/>
        <v>121359.092399999</v>
      </c>
      <c r="F77" s="5">
        <v>121359.0924</v>
      </c>
    </row>
    <row r="78" spans="1:6">
      <c r="A78" s="2">
        <v>45047</v>
      </c>
      <c r="B78">
        <v>157259.539195627</v>
      </c>
      <c r="C78">
        <v>0.725400490513477</v>
      </c>
      <c r="D78">
        <v>0.992381143698528</v>
      </c>
      <c r="E78" s="4">
        <f t="shared" si="1"/>
        <v>113207.0171</v>
      </c>
      <c r="F78" s="5">
        <v>113207.0171</v>
      </c>
    </row>
    <row r="79" spans="1:6">
      <c r="A79" s="2">
        <v>45078</v>
      </c>
      <c r="B79">
        <v>158726.73515103</v>
      </c>
      <c r="C79">
        <v>0.908364953336003</v>
      </c>
      <c r="D79">
        <v>1.08175779228686</v>
      </c>
      <c r="E79" s="4">
        <f t="shared" si="1"/>
        <v>155969.7893</v>
      </c>
      <c r="F79" s="5">
        <v>155969.7893</v>
      </c>
    </row>
    <row r="80" spans="1:6">
      <c r="A80" s="2">
        <v>45108</v>
      </c>
      <c r="B80">
        <v>159462.103787562</v>
      </c>
      <c r="C80">
        <v>1.39262371289443</v>
      </c>
      <c r="D80">
        <v>1.07978628110555</v>
      </c>
      <c r="E80" s="4">
        <f t="shared" si="1"/>
        <v>239788.9029</v>
      </c>
      <c r="F80" s="5">
        <v>239788.9029</v>
      </c>
    </row>
    <row r="81" spans="1:6">
      <c r="A81" s="2">
        <v>45139</v>
      </c>
      <c r="B81">
        <v>159773.207673204</v>
      </c>
      <c r="C81">
        <v>1.36839799080694</v>
      </c>
      <c r="D81">
        <v>0.999245907931823</v>
      </c>
      <c r="E81" s="4">
        <f t="shared" si="1"/>
        <v>218468.466700001</v>
      </c>
      <c r="F81" s="5">
        <v>218468.4667</v>
      </c>
    </row>
    <row r="82" spans="1:6">
      <c r="A82" s="2">
        <v>45170</v>
      </c>
      <c r="B82">
        <v>159919.965607701</v>
      </c>
      <c r="C82">
        <v>1.04844005105719</v>
      </c>
      <c r="D82">
        <v>0.894136188002614</v>
      </c>
      <c r="E82" s="4">
        <f t="shared" si="1"/>
        <v>149916.6824</v>
      </c>
      <c r="F82" s="5">
        <v>149916.6824</v>
      </c>
    </row>
    <row r="83" spans="1:6">
      <c r="A83" s="2">
        <v>45200</v>
      </c>
      <c r="B83">
        <v>159938.092239165</v>
      </c>
      <c r="C83">
        <v>0.76316616631424</v>
      </c>
      <c r="D83">
        <v>0.980799734880568</v>
      </c>
      <c r="E83" s="4">
        <f t="shared" si="1"/>
        <v>119715.769</v>
      </c>
      <c r="F83" s="5">
        <v>119715.769</v>
      </c>
    </row>
    <row r="84" spans="1:6">
      <c r="A84" s="2">
        <v>45231</v>
      </c>
      <c r="B84">
        <v>159783.168873915</v>
      </c>
      <c r="C84">
        <v>0.828958294687215</v>
      </c>
      <c r="D84">
        <v>0.979843323788215</v>
      </c>
      <c r="E84" s="4">
        <f t="shared" si="1"/>
        <v>129783.7592</v>
      </c>
      <c r="F84" s="5">
        <v>129783.7592</v>
      </c>
    </row>
    <row r="85" spans="1:6">
      <c r="A85" s="2">
        <v>45261</v>
      </c>
      <c r="B85">
        <v>160389.541549866</v>
      </c>
      <c r="C85">
        <v>1.1086849078496</v>
      </c>
      <c r="D85">
        <v>1.0217325783839</v>
      </c>
      <c r="E85" s="4">
        <f t="shared" si="1"/>
        <v>181685.982999999</v>
      </c>
      <c r="F85" s="5">
        <v>181685.983</v>
      </c>
    </row>
    <row r="86" spans="1:8">
      <c r="A86" s="3" t="s">
        <v>7</v>
      </c>
      <c r="B86" s="6"/>
      <c r="C86">
        <v>1.26988677226285</v>
      </c>
      <c r="D86" s="6"/>
      <c r="E86" s="18">
        <v>201340.487630861</v>
      </c>
      <c r="F86" s="5">
        <v>192797.2548</v>
      </c>
      <c r="H86" s="16">
        <f t="shared" ref="H86:H93" si="2">ABS((E86-F86))/F86</f>
        <v>0.0443120045444807</v>
      </c>
    </row>
    <row r="87" spans="1:8">
      <c r="A87" s="3" t="s">
        <v>8</v>
      </c>
      <c r="B87" s="6"/>
      <c r="C87">
        <v>1.07516880806038</v>
      </c>
      <c r="D87" s="6"/>
      <c r="E87" s="18">
        <v>170255.374712328</v>
      </c>
      <c r="F87" s="5">
        <v>157446.7629</v>
      </c>
      <c r="H87" s="16">
        <f t="shared" si="2"/>
        <v>0.0813520175099642</v>
      </c>
    </row>
    <row r="88" spans="1:8">
      <c r="A88" s="3" t="s">
        <v>9</v>
      </c>
      <c r="B88" s="6"/>
      <c r="C88">
        <v>0.746774315582113</v>
      </c>
      <c r="D88" s="6"/>
      <c r="E88" s="18">
        <v>132858.512572827</v>
      </c>
      <c r="F88" s="5">
        <v>146699.0444</v>
      </c>
      <c r="H88" s="16">
        <f t="shared" si="2"/>
        <v>0.0943464347963607</v>
      </c>
    </row>
    <row r="89" spans="1:8">
      <c r="A89" s="3" t="s">
        <v>10</v>
      </c>
      <c r="B89" s="6"/>
      <c r="C89">
        <v>0.766101323431153</v>
      </c>
      <c r="D89" s="6"/>
      <c r="E89" s="18">
        <v>120067.836106229</v>
      </c>
      <c r="F89" s="5">
        <v>122680.203</v>
      </c>
      <c r="H89" s="16">
        <f t="shared" si="2"/>
        <v>0.0212941194250468</v>
      </c>
    </row>
    <row r="90" spans="1:8">
      <c r="A90" s="3" t="s">
        <v>11</v>
      </c>
      <c r="B90" s="6"/>
      <c r="C90">
        <v>0.725400490513477</v>
      </c>
      <c r="D90" s="6"/>
      <c r="E90" s="18">
        <v>129533.951258529</v>
      </c>
      <c r="F90" s="5">
        <v>153271.1366</v>
      </c>
      <c r="H90" s="16">
        <f t="shared" si="2"/>
        <v>0.154870550764031</v>
      </c>
    </row>
    <row r="91" spans="1:8">
      <c r="A91" s="3" t="s">
        <v>12</v>
      </c>
      <c r="B91" s="6"/>
      <c r="C91">
        <v>0.908364953336003</v>
      </c>
      <c r="D91" s="6"/>
      <c r="E91" s="18">
        <v>196897.3662827</v>
      </c>
      <c r="F91" s="5">
        <v>167265.2132</v>
      </c>
      <c r="H91" s="16">
        <f t="shared" si="2"/>
        <v>0.177156699326767</v>
      </c>
    </row>
    <row r="92" spans="1:8">
      <c r="A92" s="3" t="s">
        <v>13</v>
      </c>
      <c r="B92" s="6"/>
      <c r="C92">
        <v>1.39262371289443</v>
      </c>
      <c r="D92" s="6"/>
      <c r="E92" s="18">
        <v>256230.569994768</v>
      </c>
      <c r="F92" s="5">
        <v>202163.4444</v>
      </c>
      <c r="H92" s="16">
        <f t="shared" si="2"/>
        <v>0.267442641547949</v>
      </c>
    </row>
    <row r="93" spans="1:8">
      <c r="A93" s="3" t="s">
        <v>14</v>
      </c>
      <c r="B93" s="6"/>
      <c r="C93">
        <v>1.36839799080694</v>
      </c>
      <c r="D93" s="6"/>
      <c r="E93" s="18">
        <v>255774.068516092</v>
      </c>
      <c r="F93" s="5">
        <v>333966.5</v>
      </c>
      <c r="H93" s="16">
        <f t="shared" si="2"/>
        <v>0.23413255965466</v>
      </c>
    </row>
    <row r="94" spans="1:9">
      <c r="A94" s="3" t="s">
        <v>20</v>
      </c>
      <c r="B94" s="6"/>
      <c r="C94">
        <v>1.04844005105719</v>
      </c>
      <c r="D94" s="6"/>
      <c r="E94" s="18">
        <v>194476.909402731</v>
      </c>
      <c r="F94" s="19">
        <v>267922.935192845</v>
      </c>
      <c r="H94">
        <f>(SUM(H86:H93))/8</f>
        <v>0.134363378446157</v>
      </c>
      <c r="I94" s="16"/>
    </row>
    <row r="95" spans="1:6">
      <c r="A95" s="3" t="s">
        <v>21</v>
      </c>
      <c r="B95" s="6"/>
      <c r="C95">
        <v>0.76316616631424</v>
      </c>
      <c r="D95" s="6"/>
      <c r="E95" s="18">
        <v>122770.909376596</v>
      </c>
      <c r="F95" s="19">
        <v>144247.402904868</v>
      </c>
    </row>
    <row r="96" spans="1:6">
      <c r="A96" s="3" t="s">
        <v>22</v>
      </c>
      <c r="B96" s="6"/>
      <c r="C96">
        <v>0.828958294687215</v>
      </c>
      <c r="D96" s="6"/>
      <c r="E96" s="18">
        <v>135125.185803882</v>
      </c>
      <c r="F96" s="19">
        <v>180829.325307249</v>
      </c>
    </row>
    <row r="97" spans="1:6">
      <c r="A97" s="3" t="s">
        <v>23</v>
      </c>
      <c r="B97" s="6"/>
      <c r="C97">
        <v>1.1086849078496</v>
      </c>
      <c r="D97" s="6"/>
      <c r="E97" s="18">
        <v>181594.561025716</v>
      </c>
      <c r="F97" s="19">
        <v>292354.729657656</v>
      </c>
    </row>
    <row r="98" spans="5:5">
      <c r="E98" t="s">
        <v>24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"/>
  <sheetViews>
    <sheetView topLeftCell="A64" workbookViewId="0">
      <selection activeCell="I74" sqref="I74"/>
    </sheetView>
  </sheetViews>
  <sheetFormatPr defaultColWidth="8.88888888888889" defaultRowHeight="13.8"/>
  <cols>
    <col min="1" max="1" width="12.25" style="2" customWidth="1"/>
    <col min="2" max="3" width="14.1111111111111" customWidth="1"/>
    <col min="4" max="6" width="11.8888888888889" customWidth="1"/>
    <col min="7" max="7" width="9.66666666666667"/>
    <col min="8" max="8" width="12.8888888888889"/>
    <col min="9" max="9" width="14.1111111111111"/>
  </cols>
  <sheetData>
    <row r="1" spans="1:6">
      <c r="A1" s="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 s="2">
        <v>42736</v>
      </c>
      <c r="B2">
        <v>4309.25376444858</v>
      </c>
      <c r="C2">
        <v>1.0767003656835</v>
      </c>
      <c r="D2">
        <v>1.19335046977188</v>
      </c>
      <c r="E2" s="4">
        <f t="shared" ref="E2:E65" si="0">B2*C2*D2</f>
        <v>5536.87779999998</v>
      </c>
      <c r="F2" s="13">
        <v>5536.8778</v>
      </c>
    </row>
    <row r="3" spans="1:6">
      <c r="A3" s="2">
        <v>42767</v>
      </c>
      <c r="B3">
        <v>3819.02548552724</v>
      </c>
      <c r="C3">
        <v>0.470524772341739</v>
      </c>
      <c r="D3">
        <v>1.81303913633037</v>
      </c>
      <c r="E3" s="4">
        <f t="shared" si="0"/>
        <v>3257.93360000001</v>
      </c>
      <c r="F3" s="4">
        <v>3257.9336</v>
      </c>
    </row>
    <row r="4" spans="1:6">
      <c r="A4" s="2">
        <v>42795</v>
      </c>
      <c r="B4">
        <v>3339.2407747176</v>
      </c>
      <c r="C4">
        <v>0.712392547746677</v>
      </c>
      <c r="D4">
        <v>0.633180589827594</v>
      </c>
      <c r="E4" s="4">
        <f t="shared" si="0"/>
        <v>1506.2418</v>
      </c>
      <c r="F4" s="4">
        <v>1506.2418</v>
      </c>
    </row>
    <row r="5" spans="1:6">
      <c r="A5" s="2">
        <v>42826</v>
      </c>
      <c r="B5">
        <v>2934.58724064711</v>
      </c>
      <c r="C5">
        <v>1.05911318751585</v>
      </c>
      <c r="D5">
        <v>0.46590721490005</v>
      </c>
      <c r="E5" s="4">
        <f t="shared" si="0"/>
        <v>1448.06759999999</v>
      </c>
      <c r="F5" s="4">
        <v>1448.0676</v>
      </c>
    </row>
    <row r="6" spans="1:6">
      <c r="A6" s="2">
        <v>42856</v>
      </c>
      <c r="B6">
        <v>2705.95980372784</v>
      </c>
      <c r="C6">
        <v>1.10581480016532</v>
      </c>
      <c r="D6">
        <v>0.55072174820071</v>
      </c>
      <c r="E6" s="4">
        <f t="shared" si="0"/>
        <v>1647.9194</v>
      </c>
      <c r="F6" s="4">
        <v>1647.9194</v>
      </c>
    </row>
    <row r="7" spans="1:6">
      <c r="A7" s="2">
        <v>42887</v>
      </c>
      <c r="B7">
        <v>2798.11135233468</v>
      </c>
      <c r="C7">
        <v>1.01884054041766</v>
      </c>
      <c r="D7">
        <v>0.777778035927609</v>
      </c>
      <c r="E7" s="4">
        <f t="shared" si="0"/>
        <v>2217.31240000001</v>
      </c>
      <c r="F7" s="4">
        <v>2217.3124</v>
      </c>
    </row>
    <row r="8" spans="1:6">
      <c r="A8" s="2">
        <v>42917</v>
      </c>
      <c r="B8">
        <v>3304.41217594377</v>
      </c>
      <c r="C8">
        <v>1.06328161626974</v>
      </c>
      <c r="D8">
        <v>0.975602443785512</v>
      </c>
      <c r="E8" s="4">
        <f t="shared" si="0"/>
        <v>3427.79940000001</v>
      </c>
      <c r="F8" s="4">
        <v>3427.7994</v>
      </c>
    </row>
    <row r="9" spans="1:6">
      <c r="A9" s="2">
        <v>42948</v>
      </c>
      <c r="B9">
        <v>4163.88875026568</v>
      </c>
      <c r="C9">
        <v>1.03885259266477</v>
      </c>
      <c r="D9">
        <v>0.957934246994251</v>
      </c>
      <c r="E9" s="4">
        <f t="shared" si="0"/>
        <v>4143.70419999998</v>
      </c>
      <c r="F9" s="4">
        <v>4143.7042</v>
      </c>
    </row>
    <row r="10" spans="1:6">
      <c r="A10" s="2">
        <v>42979</v>
      </c>
      <c r="B10">
        <v>5178.30104141957</v>
      </c>
      <c r="C10">
        <v>1.0622311454267</v>
      </c>
      <c r="D10">
        <v>1.14110552216777</v>
      </c>
      <c r="E10" s="4">
        <f t="shared" si="0"/>
        <v>6276.71099999997</v>
      </c>
      <c r="F10" s="4">
        <v>6276.711</v>
      </c>
    </row>
    <row r="11" spans="1:6">
      <c r="A11" s="2">
        <v>43009</v>
      </c>
      <c r="B11">
        <v>6231.29391035377</v>
      </c>
      <c r="C11">
        <v>1.17013786321692</v>
      </c>
      <c r="D11">
        <v>0.94012686533294</v>
      </c>
      <c r="E11" s="4">
        <f t="shared" si="0"/>
        <v>6854.90960000001</v>
      </c>
      <c r="F11" s="4">
        <v>6854.9096</v>
      </c>
    </row>
    <row r="12" spans="1:6">
      <c r="A12" s="2">
        <v>43040</v>
      </c>
      <c r="B12">
        <v>7204.01915022045</v>
      </c>
      <c r="C12">
        <v>1.16066839889732</v>
      </c>
      <c r="D12">
        <v>1.02359408732383</v>
      </c>
      <c r="E12" s="4">
        <f t="shared" si="0"/>
        <v>8558.7588</v>
      </c>
      <c r="F12" s="4">
        <v>8558.7588</v>
      </c>
    </row>
    <row r="13" spans="1:6">
      <c r="A13" s="2">
        <v>43070</v>
      </c>
      <c r="B13">
        <v>7965.64129669828</v>
      </c>
      <c r="C13">
        <v>1.06391756986757</v>
      </c>
      <c r="D13">
        <v>0.973787121246955</v>
      </c>
      <c r="E13" s="4">
        <f t="shared" si="0"/>
        <v>8252.63719999997</v>
      </c>
      <c r="F13" s="4">
        <v>8252.6372</v>
      </c>
    </row>
    <row r="14" spans="1:6">
      <c r="A14" s="2">
        <v>43101</v>
      </c>
      <c r="B14">
        <v>8421.42454620068</v>
      </c>
      <c r="C14">
        <v>1.06276923246812</v>
      </c>
      <c r="D14">
        <v>1.02511833771598</v>
      </c>
      <c r="E14" s="4">
        <f t="shared" si="0"/>
        <v>9174.84080000003</v>
      </c>
      <c r="F14" s="4">
        <v>9174.8408</v>
      </c>
    </row>
    <row r="15" spans="1:6">
      <c r="A15" s="2">
        <v>43132</v>
      </c>
      <c r="B15">
        <v>8570.54097410189</v>
      </c>
      <c r="C15">
        <v>0.464115118353574</v>
      </c>
      <c r="D15">
        <v>1.59293830678002</v>
      </c>
      <c r="E15" s="4">
        <f t="shared" si="0"/>
        <v>6336.25879999999</v>
      </c>
      <c r="F15" s="4">
        <v>6336.2588</v>
      </c>
    </row>
    <row r="16" spans="1:6">
      <c r="A16" s="2">
        <v>43160</v>
      </c>
      <c r="B16">
        <v>8459.60859739465</v>
      </c>
      <c r="C16">
        <v>0.723442971404253</v>
      </c>
      <c r="D16">
        <v>1.05908349627808</v>
      </c>
      <c r="E16" s="4">
        <f t="shared" si="0"/>
        <v>6481.63799999997</v>
      </c>
      <c r="F16" s="4">
        <v>6481.638</v>
      </c>
    </row>
    <row r="17" spans="1:6">
      <c r="A17" s="2">
        <v>43191</v>
      </c>
      <c r="B17">
        <v>8219.1417045512</v>
      </c>
      <c r="C17">
        <v>1.05504532114688</v>
      </c>
      <c r="D17">
        <v>0.976235160352417</v>
      </c>
      <c r="E17" s="4">
        <f t="shared" si="0"/>
        <v>8465.48859999996</v>
      </c>
      <c r="F17" s="4">
        <v>8465.4886</v>
      </c>
    </row>
    <row r="18" spans="1:6">
      <c r="A18" s="2">
        <v>43221</v>
      </c>
      <c r="B18">
        <v>7966.75760472966</v>
      </c>
      <c r="C18">
        <v>1.12136891387756</v>
      </c>
      <c r="D18">
        <v>0.915430695693471</v>
      </c>
      <c r="E18" s="4">
        <f t="shared" si="0"/>
        <v>8178.15969999997</v>
      </c>
      <c r="F18" s="4">
        <v>8178.1597</v>
      </c>
    </row>
    <row r="19" spans="1:6">
      <c r="A19" s="2">
        <v>43252</v>
      </c>
      <c r="B19">
        <v>7835.48662034005</v>
      </c>
      <c r="C19">
        <v>1.0360707251904</v>
      </c>
      <c r="D19">
        <v>0.945551113158137</v>
      </c>
      <c r="E19" s="4">
        <f t="shared" si="0"/>
        <v>7676.09580000002</v>
      </c>
      <c r="F19" s="4">
        <v>7676.0958</v>
      </c>
    </row>
    <row r="20" spans="1:6">
      <c r="A20" s="2">
        <v>43282</v>
      </c>
      <c r="B20">
        <v>7872.29442227142</v>
      </c>
      <c r="C20">
        <v>1.05681964290931</v>
      </c>
      <c r="D20">
        <v>1.05778733193216</v>
      </c>
      <c r="E20" s="4">
        <f t="shared" si="0"/>
        <v>8800.36259999998</v>
      </c>
      <c r="F20" s="4">
        <v>8800.3626</v>
      </c>
    </row>
    <row r="21" spans="1:6">
      <c r="A21" s="2">
        <v>43313</v>
      </c>
      <c r="B21">
        <v>8021.80683707545</v>
      </c>
      <c r="C21">
        <v>1.05193908397775</v>
      </c>
      <c r="D21">
        <v>0.986822472386294</v>
      </c>
      <c r="E21" s="4">
        <f t="shared" si="0"/>
        <v>8327.2542</v>
      </c>
      <c r="F21" s="4">
        <v>8327.2542</v>
      </c>
    </row>
    <row r="22" spans="1:6">
      <c r="A22" s="2">
        <v>43344</v>
      </c>
      <c r="B22">
        <v>8159.11968284901</v>
      </c>
      <c r="C22">
        <v>1.05602431584747</v>
      </c>
      <c r="D22">
        <v>1.04123834545635</v>
      </c>
      <c r="E22" s="4">
        <f t="shared" si="0"/>
        <v>8971.5478</v>
      </c>
      <c r="F22" s="4">
        <v>8971.5478</v>
      </c>
    </row>
    <row r="23" spans="1:6">
      <c r="A23" s="2">
        <v>43374</v>
      </c>
      <c r="B23">
        <v>8158.87386995019</v>
      </c>
      <c r="C23">
        <v>1.17284728978249</v>
      </c>
      <c r="D23">
        <v>0.960685582678455</v>
      </c>
      <c r="E23" s="4">
        <f t="shared" si="0"/>
        <v>9192.90900000001</v>
      </c>
      <c r="F23" s="4">
        <v>9192.909</v>
      </c>
    </row>
    <row r="24" spans="1:6">
      <c r="A24" s="2">
        <v>43405</v>
      </c>
      <c r="B24">
        <v>7998.63239275452</v>
      </c>
      <c r="C24">
        <v>1.14183876265143</v>
      </c>
      <c r="D24">
        <v>1.06202468785763</v>
      </c>
      <c r="E24" s="4">
        <f t="shared" si="0"/>
        <v>9699.62919999998</v>
      </c>
      <c r="F24" s="4">
        <v>9699.6292</v>
      </c>
    </row>
    <row r="25" spans="1:6">
      <c r="A25" s="2">
        <v>43435</v>
      </c>
      <c r="B25">
        <v>7771.86095349981</v>
      </c>
      <c r="C25">
        <v>1.05412873915314</v>
      </c>
      <c r="D25">
        <v>1.03551300837365</v>
      </c>
      <c r="E25" s="4">
        <f t="shared" si="0"/>
        <v>8483.48380000001</v>
      </c>
      <c r="F25" s="4">
        <v>8483.4838</v>
      </c>
    </row>
    <row r="26" spans="1:6">
      <c r="A26" s="2">
        <v>43466</v>
      </c>
      <c r="B26">
        <v>7635.13351878749</v>
      </c>
      <c r="C26">
        <v>1.0177836235795</v>
      </c>
      <c r="D26">
        <v>0.927326429105696</v>
      </c>
      <c r="E26" s="4">
        <f t="shared" si="0"/>
        <v>7206.17380000002</v>
      </c>
      <c r="F26" s="4">
        <v>7206.1738</v>
      </c>
    </row>
    <row r="27" spans="1:6">
      <c r="A27" s="2">
        <v>43497</v>
      </c>
      <c r="B27">
        <v>7685.7646878061</v>
      </c>
      <c r="C27">
        <v>0.460524081617539</v>
      </c>
      <c r="D27">
        <v>0.416669938760043</v>
      </c>
      <c r="E27" s="4">
        <f t="shared" si="0"/>
        <v>1474.7948</v>
      </c>
      <c r="F27" s="4">
        <v>1474.7948</v>
      </c>
    </row>
    <row r="28" spans="1:6">
      <c r="A28" s="2">
        <v>43525</v>
      </c>
      <c r="B28">
        <v>7913.74096457774</v>
      </c>
      <c r="C28">
        <v>0.746827757984877</v>
      </c>
      <c r="D28">
        <v>0.925477189284879</v>
      </c>
      <c r="E28" s="4">
        <f t="shared" si="0"/>
        <v>5469.7566</v>
      </c>
      <c r="F28" s="4">
        <v>5469.7566</v>
      </c>
    </row>
    <row r="29" spans="1:6">
      <c r="A29" s="2">
        <v>43556</v>
      </c>
      <c r="B29">
        <v>8207.45730781478</v>
      </c>
      <c r="C29">
        <v>1.06173675976637</v>
      </c>
      <c r="D29">
        <v>1.0281667879226</v>
      </c>
      <c r="E29" s="4">
        <f t="shared" si="0"/>
        <v>8959.60899999999</v>
      </c>
      <c r="F29" s="4">
        <v>8959.609</v>
      </c>
    </row>
    <row r="30" spans="1:6">
      <c r="A30" s="2">
        <v>43586</v>
      </c>
      <c r="B30">
        <v>8421.70465977936</v>
      </c>
      <c r="C30">
        <v>1.15178404856389</v>
      </c>
      <c r="D30">
        <v>1.03609012879333</v>
      </c>
      <c r="E30" s="4">
        <f t="shared" si="0"/>
        <v>10050.0588</v>
      </c>
      <c r="F30" s="4">
        <v>10050.0588</v>
      </c>
    </row>
    <row r="31" spans="1:6">
      <c r="A31" s="2">
        <v>43617</v>
      </c>
      <c r="B31">
        <v>8458.02734588367</v>
      </c>
      <c r="C31">
        <v>1.07331542569448</v>
      </c>
      <c r="D31">
        <v>1.09185509202185</v>
      </c>
      <c r="E31" s="4">
        <f t="shared" si="0"/>
        <v>9912.00380000003</v>
      </c>
      <c r="F31" s="4">
        <v>9912.0038</v>
      </c>
    </row>
    <row r="32" spans="1:6">
      <c r="A32" s="2">
        <v>43647</v>
      </c>
      <c r="B32">
        <v>8267.59024117229</v>
      </c>
      <c r="C32">
        <v>1.05679595584345</v>
      </c>
      <c r="D32">
        <v>0.992438714387146</v>
      </c>
      <c r="E32" s="4">
        <f t="shared" si="0"/>
        <v>8671.09179999998</v>
      </c>
      <c r="F32" s="4">
        <v>8671.0918</v>
      </c>
    </row>
    <row r="33" spans="1:6">
      <c r="A33" s="2">
        <v>43678</v>
      </c>
      <c r="B33">
        <v>7906.39096511557</v>
      </c>
      <c r="C33">
        <v>1.06293650989378</v>
      </c>
      <c r="D33">
        <v>0.94738490488829</v>
      </c>
      <c r="E33" s="4">
        <f t="shared" si="0"/>
        <v>7961.81479999997</v>
      </c>
      <c r="F33" s="4">
        <v>7961.8148</v>
      </c>
    </row>
    <row r="34" spans="1:6">
      <c r="A34" s="2">
        <v>43709</v>
      </c>
      <c r="B34">
        <v>7473.00704030907</v>
      </c>
      <c r="C34">
        <v>1.03126888962609</v>
      </c>
      <c r="D34">
        <v>0.926320841562385</v>
      </c>
      <c r="E34" s="4">
        <f t="shared" si="0"/>
        <v>7138.85800000002</v>
      </c>
      <c r="F34" s="4">
        <v>7138.858</v>
      </c>
    </row>
    <row r="35" spans="1:6">
      <c r="A35" s="2">
        <v>43739</v>
      </c>
      <c r="B35">
        <v>7046.71492675488</v>
      </c>
      <c r="C35">
        <v>1.16376769128499</v>
      </c>
      <c r="D35">
        <v>1.07625269213369</v>
      </c>
      <c r="E35" s="4">
        <f t="shared" si="0"/>
        <v>8826.06759999997</v>
      </c>
      <c r="F35" s="4">
        <v>8826.0676</v>
      </c>
    </row>
    <row r="36" spans="1:6">
      <c r="A36" s="2">
        <v>43770</v>
      </c>
      <c r="B36">
        <v>6674.48788009517</v>
      </c>
      <c r="C36">
        <v>1.12295033614833</v>
      </c>
      <c r="D36">
        <v>1.02457612827284</v>
      </c>
      <c r="E36" s="4">
        <f t="shared" si="0"/>
        <v>7679.31939999999</v>
      </c>
      <c r="F36" s="4">
        <v>7679.3194</v>
      </c>
    </row>
    <row r="37" spans="1:6">
      <c r="A37" s="2">
        <v>43800</v>
      </c>
      <c r="B37">
        <v>6369.66169711382</v>
      </c>
      <c r="C37">
        <v>1.04156665640792</v>
      </c>
      <c r="D37">
        <v>1.62057454502673</v>
      </c>
      <c r="E37" s="4">
        <f t="shared" si="0"/>
        <v>10751.5839</v>
      </c>
      <c r="F37" s="4">
        <v>10751.5839</v>
      </c>
    </row>
    <row r="38" spans="1:6">
      <c r="A38" s="2">
        <v>43831</v>
      </c>
      <c r="B38">
        <v>6193.43898752269</v>
      </c>
      <c r="C38">
        <v>0.971263975379604</v>
      </c>
      <c r="D38">
        <v>0.971525177877165</v>
      </c>
      <c r="E38" s="4">
        <f t="shared" si="0"/>
        <v>5844.17490000001</v>
      </c>
      <c r="F38" s="4">
        <v>5844.1749</v>
      </c>
    </row>
    <row r="39" spans="1:6">
      <c r="A39" s="2">
        <v>43862</v>
      </c>
      <c r="B39">
        <v>6181.00448132866</v>
      </c>
      <c r="C39">
        <v>0.458479364236135</v>
      </c>
      <c r="D39">
        <v>0.48129891869235</v>
      </c>
      <c r="E39" s="4">
        <f t="shared" si="0"/>
        <v>1363.9352</v>
      </c>
      <c r="F39" s="4">
        <v>1363.9352</v>
      </c>
    </row>
    <row r="40" spans="1:6">
      <c r="A40" s="2">
        <v>43891</v>
      </c>
      <c r="B40">
        <v>6414.17070378935</v>
      </c>
      <c r="C40">
        <v>0.770676425786429</v>
      </c>
      <c r="D40">
        <v>0.406411295821754</v>
      </c>
      <c r="E40" s="4">
        <f t="shared" si="0"/>
        <v>2008.9927</v>
      </c>
      <c r="F40" s="4">
        <v>2008.9927</v>
      </c>
    </row>
    <row r="41" spans="1:6">
      <c r="A41" s="2">
        <v>43922</v>
      </c>
      <c r="B41">
        <v>6835.33103245688</v>
      </c>
      <c r="C41">
        <v>1.074497411513</v>
      </c>
      <c r="D41">
        <v>1.40124339869708</v>
      </c>
      <c r="E41" s="4">
        <f t="shared" si="0"/>
        <v>10291.4959</v>
      </c>
      <c r="F41" s="4">
        <v>10291.4959</v>
      </c>
    </row>
    <row r="42" spans="1:6">
      <c r="A42" s="2">
        <v>43952</v>
      </c>
      <c r="B42">
        <v>7339.03985718311</v>
      </c>
      <c r="C42">
        <v>1.18599678667206</v>
      </c>
      <c r="D42">
        <v>1.04818724363028</v>
      </c>
      <c r="E42" s="4">
        <f t="shared" si="0"/>
        <v>9123.50319999997</v>
      </c>
      <c r="F42" s="4">
        <v>9123.5032</v>
      </c>
    </row>
    <row r="43" spans="1:6">
      <c r="A43" s="2">
        <v>43983</v>
      </c>
      <c r="B43">
        <v>7750.53431018851</v>
      </c>
      <c r="C43">
        <v>1.11058749940381</v>
      </c>
      <c r="D43">
        <v>1.07257501572058</v>
      </c>
      <c r="E43" s="4">
        <f t="shared" si="0"/>
        <v>9232.34659999997</v>
      </c>
      <c r="F43" s="4">
        <v>9232.3466</v>
      </c>
    </row>
    <row r="44" spans="1:6">
      <c r="A44" s="2">
        <v>44013</v>
      </c>
      <c r="B44">
        <v>8007.29869685776</v>
      </c>
      <c r="C44">
        <v>1.05363515369776</v>
      </c>
      <c r="D44">
        <v>0.977002826777467</v>
      </c>
      <c r="E44" s="4">
        <f t="shared" si="0"/>
        <v>8242.74950000001</v>
      </c>
      <c r="F44" s="4">
        <v>8242.7495</v>
      </c>
    </row>
    <row r="45" spans="1:6">
      <c r="A45" s="2">
        <v>44044</v>
      </c>
      <c r="B45">
        <v>8223.50911059693</v>
      </c>
      <c r="C45">
        <v>1.06816266239928</v>
      </c>
      <c r="D45">
        <v>1.08684748093285</v>
      </c>
      <c r="E45" s="4">
        <f t="shared" si="0"/>
        <v>9546.91759999998</v>
      </c>
      <c r="F45" s="4">
        <v>9546.9176</v>
      </c>
    </row>
    <row r="46" spans="1:6">
      <c r="A46" s="2">
        <v>44075</v>
      </c>
      <c r="B46">
        <v>8497.97575175804</v>
      </c>
      <c r="C46">
        <v>1.00892716176685</v>
      </c>
      <c r="D46">
        <v>0.868906249091876</v>
      </c>
      <c r="E46" s="4">
        <f t="shared" si="0"/>
        <v>7449.86190000002</v>
      </c>
      <c r="F46" s="4">
        <v>7449.8619</v>
      </c>
    </row>
    <row r="47" spans="1:6">
      <c r="A47" s="2">
        <v>44105</v>
      </c>
      <c r="B47">
        <v>8953.6473566417</v>
      </c>
      <c r="C47">
        <v>1.15559932935124</v>
      </c>
      <c r="D47">
        <v>1.02566596224624</v>
      </c>
      <c r="E47" s="4">
        <f t="shared" si="0"/>
        <v>10612.3902</v>
      </c>
      <c r="F47" s="4">
        <v>10612.3902</v>
      </c>
    </row>
    <row r="48" spans="1:6">
      <c r="A48" s="2">
        <v>44136</v>
      </c>
      <c r="B48">
        <v>9596.14311544041</v>
      </c>
      <c r="C48">
        <v>1.10737726652357</v>
      </c>
      <c r="D48">
        <v>0.890315083256734</v>
      </c>
      <c r="E48" s="4">
        <f t="shared" si="0"/>
        <v>9460.97839999998</v>
      </c>
      <c r="F48" s="4">
        <v>9460.9784</v>
      </c>
    </row>
    <row r="49" spans="1:6">
      <c r="A49" s="2">
        <v>44166</v>
      </c>
      <c r="B49">
        <v>10317.5984376192</v>
      </c>
      <c r="C49">
        <v>1.0248982902709</v>
      </c>
      <c r="D49">
        <v>1.05543506657108</v>
      </c>
      <c r="E49" s="4">
        <f t="shared" si="0"/>
        <v>11160.6865000001</v>
      </c>
      <c r="F49" s="4">
        <v>11160.6865</v>
      </c>
    </row>
    <row r="50" spans="1:6">
      <c r="A50" s="2">
        <v>44197</v>
      </c>
      <c r="B50" s="14">
        <v>10942.5401502317</v>
      </c>
      <c r="C50" s="15">
        <v>0.927543598441302</v>
      </c>
      <c r="D50" s="14">
        <v>1.10236281528239</v>
      </c>
      <c r="E50" s="4">
        <f t="shared" si="0"/>
        <v>11188.6332</v>
      </c>
      <c r="F50" s="5">
        <v>11188.6332</v>
      </c>
    </row>
    <row r="51" spans="1:6">
      <c r="A51" s="2">
        <v>44228</v>
      </c>
      <c r="B51" s="14">
        <v>11285.7484735915</v>
      </c>
      <c r="C51" s="15">
        <v>0.460714338898939</v>
      </c>
      <c r="D51" s="14">
        <v>0.90868691495533</v>
      </c>
      <c r="E51" s="4">
        <f t="shared" si="0"/>
        <v>4724.7232</v>
      </c>
      <c r="F51" s="5">
        <v>4724.7232</v>
      </c>
    </row>
    <row r="52" spans="1:6">
      <c r="A52" s="2">
        <v>44256</v>
      </c>
      <c r="B52" s="14">
        <v>11263.4211073623</v>
      </c>
      <c r="C52" s="15">
        <v>0.79085330412359</v>
      </c>
      <c r="D52" s="14">
        <v>1.10018292254272</v>
      </c>
      <c r="E52" s="4">
        <f t="shared" si="0"/>
        <v>9800.11459999999</v>
      </c>
      <c r="F52" s="5">
        <v>9800.1146</v>
      </c>
    </row>
    <row r="53" spans="1:6">
      <c r="A53" s="2">
        <v>44287</v>
      </c>
      <c r="B53" s="14">
        <v>10951.0222309013</v>
      </c>
      <c r="C53" s="15">
        <v>1.08852001714138</v>
      </c>
      <c r="D53" s="14">
        <v>0.957925168961895</v>
      </c>
      <c r="E53" s="4">
        <f t="shared" si="0"/>
        <v>11418.8578</v>
      </c>
      <c r="F53" s="5">
        <v>11418.8578</v>
      </c>
    </row>
    <row r="54" spans="1:6">
      <c r="A54" s="2">
        <v>44317</v>
      </c>
      <c r="B54" s="14">
        <v>10580.0331591949</v>
      </c>
      <c r="C54" s="15">
        <v>1.21542444344073</v>
      </c>
      <c r="D54" s="14">
        <v>1.01096731109685</v>
      </c>
      <c r="E54" s="4">
        <f t="shared" si="0"/>
        <v>13000.2621000001</v>
      </c>
      <c r="F54" s="5">
        <v>13000.2621</v>
      </c>
    </row>
    <row r="55" spans="1:6">
      <c r="A55" s="2">
        <v>44348</v>
      </c>
      <c r="B55" s="14">
        <v>10284.6457523858</v>
      </c>
      <c r="C55" s="15">
        <v>1.14039609376675</v>
      </c>
      <c r="D55" s="14">
        <v>0.984312576530871</v>
      </c>
      <c r="E55" s="4">
        <f t="shared" si="0"/>
        <v>11544.5788000001</v>
      </c>
      <c r="F55" s="5">
        <v>11544.5788</v>
      </c>
    </row>
    <row r="56" spans="1:6">
      <c r="A56" s="2">
        <v>44378</v>
      </c>
      <c r="B56" s="14">
        <v>10126.1227173277</v>
      </c>
      <c r="C56" s="15">
        <v>1.05595187770029</v>
      </c>
      <c r="D56" s="14">
        <v>0.899430595786205</v>
      </c>
      <c r="E56" s="4">
        <f t="shared" si="0"/>
        <v>9617.33999999992</v>
      </c>
      <c r="F56" s="5">
        <v>9617.34</v>
      </c>
    </row>
    <row r="57" spans="1:6">
      <c r="A57" s="2">
        <v>44409</v>
      </c>
      <c r="B57" s="14">
        <v>9940.87112910687</v>
      </c>
      <c r="C57" s="15">
        <v>1.07269038187679</v>
      </c>
      <c r="D57" s="14">
        <v>1.01693285922685</v>
      </c>
      <c r="E57" s="4">
        <f t="shared" si="0"/>
        <v>10844.04</v>
      </c>
      <c r="F57" s="5">
        <v>10844.04</v>
      </c>
    </row>
    <row r="58" customFormat="1" spans="1:6">
      <c r="A58" s="2">
        <v>44440</v>
      </c>
      <c r="B58" s="14">
        <v>9662.91579750801</v>
      </c>
      <c r="C58" s="15">
        <v>0.983752506386483</v>
      </c>
      <c r="D58" s="14">
        <v>1.10823062062241</v>
      </c>
      <c r="E58" s="4">
        <f t="shared" si="0"/>
        <v>10534.749</v>
      </c>
      <c r="F58" s="5">
        <v>10534.749</v>
      </c>
    </row>
    <row r="59" customFormat="1" spans="1:6">
      <c r="A59" s="2">
        <v>44470</v>
      </c>
      <c r="B59" s="14">
        <v>9313.18431422594</v>
      </c>
      <c r="C59" s="15">
        <v>1.13868842554841</v>
      </c>
      <c r="D59" s="14">
        <v>1.06030664422898</v>
      </c>
      <c r="E59" s="4">
        <f t="shared" si="0"/>
        <v>11244.356</v>
      </c>
      <c r="F59" s="5">
        <v>11244.356</v>
      </c>
    </row>
    <row r="60" customFormat="1" spans="1:6">
      <c r="A60" s="2">
        <v>44501</v>
      </c>
      <c r="B60" s="14">
        <v>8934.53850071717</v>
      </c>
      <c r="C60" s="15">
        <v>1.0963760799802</v>
      </c>
      <c r="D60" s="14">
        <v>0.947413476869786</v>
      </c>
      <c r="E60" s="4">
        <f t="shared" si="0"/>
        <v>9280.497</v>
      </c>
      <c r="F60" s="5">
        <v>9280.497</v>
      </c>
    </row>
    <row r="61" customFormat="1" spans="1:6">
      <c r="A61" s="2">
        <v>44531</v>
      </c>
      <c r="B61" s="14">
        <v>8661.21688538445</v>
      </c>
      <c r="C61" s="15">
        <v>1.01599906984914</v>
      </c>
      <c r="D61" s="14">
        <v>0.930179081767196</v>
      </c>
      <c r="E61" s="4">
        <f t="shared" si="0"/>
        <v>8185.379</v>
      </c>
      <c r="F61" s="5">
        <v>8185.379</v>
      </c>
    </row>
    <row r="62" spans="1:6">
      <c r="A62" s="2">
        <v>44562</v>
      </c>
      <c r="B62">
        <v>8510.5414193496</v>
      </c>
      <c r="C62">
        <v>0.916836702065907</v>
      </c>
      <c r="D62">
        <v>0.803921888181407</v>
      </c>
      <c r="E62" s="4">
        <f t="shared" si="0"/>
        <v>6272.823</v>
      </c>
      <c r="F62" s="5">
        <v>6272.823</v>
      </c>
    </row>
    <row r="63" spans="1:6">
      <c r="A63" s="2">
        <v>44593</v>
      </c>
      <c r="B63">
        <v>8493.19522390595</v>
      </c>
      <c r="C63">
        <v>0.461366697319703</v>
      </c>
      <c r="D63">
        <v>1.14510344387361</v>
      </c>
      <c r="E63" s="4">
        <f t="shared" si="0"/>
        <v>4487.06200000001</v>
      </c>
      <c r="F63" s="5">
        <v>4487.062</v>
      </c>
    </row>
    <row r="64" spans="1:6">
      <c r="A64" s="2">
        <v>44621</v>
      </c>
      <c r="B64">
        <v>8520.76612048454</v>
      </c>
      <c r="C64">
        <v>0.800760936937862</v>
      </c>
      <c r="D64">
        <v>1.80322346426669</v>
      </c>
      <c r="E64" s="4">
        <f t="shared" si="0"/>
        <v>12303.568</v>
      </c>
      <c r="F64" s="5">
        <v>12303.568</v>
      </c>
    </row>
    <row r="65" spans="1:6">
      <c r="A65" s="2">
        <v>44652</v>
      </c>
      <c r="B65">
        <v>8458.1293919427</v>
      </c>
      <c r="C65">
        <v>1.09397156560605</v>
      </c>
      <c r="D65">
        <v>1.06702259737465</v>
      </c>
      <c r="E65" s="4">
        <f t="shared" si="0"/>
        <v>9873.11</v>
      </c>
      <c r="F65" s="5">
        <v>9873.11</v>
      </c>
    </row>
    <row r="66" spans="1:6">
      <c r="A66" s="2">
        <v>44682</v>
      </c>
      <c r="B66">
        <v>8184.46090995998</v>
      </c>
      <c r="C66">
        <v>1.23129442607638</v>
      </c>
      <c r="D66">
        <v>0.957220946916792</v>
      </c>
      <c r="E66" s="4">
        <f t="shared" ref="E66:E97" si="1">B66*C66*D66</f>
        <v>9646.376</v>
      </c>
      <c r="F66" s="5">
        <v>9646.376</v>
      </c>
    </row>
    <row r="67" spans="1:6">
      <c r="A67" s="2">
        <v>44713</v>
      </c>
      <c r="B67">
        <v>7778.25149736031</v>
      </c>
      <c r="C67">
        <v>1.15077670181403</v>
      </c>
      <c r="D67">
        <v>0.626276486808921</v>
      </c>
      <c r="E67" s="4">
        <f t="shared" si="1"/>
        <v>5605.81999999998</v>
      </c>
      <c r="F67" s="5">
        <v>5605.82</v>
      </c>
    </row>
    <row r="68" spans="1:6">
      <c r="A68" s="2">
        <v>44743</v>
      </c>
      <c r="B68">
        <v>7426.13440173789</v>
      </c>
      <c r="C68">
        <v>1.05110358555663</v>
      </c>
      <c r="D68">
        <v>1.0870948197259</v>
      </c>
      <c r="E68" s="4">
        <f t="shared" si="1"/>
        <v>8485.46700000002</v>
      </c>
      <c r="F68" s="5">
        <v>8485.467</v>
      </c>
    </row>
    <row r="69" spans="1:6">
      <c r="A69" s="2">
        <v>44774</v>
      </c>
      <c r="B69">
        <v>7274.09060752299</v>
      </c>
      <c r="C69">
        <v>1.07811632474282</v>
      </c>
      <c r="D69">
        <v>0.933861649700838</v>
      </c>
      <c r="E69" s="4">
        <f t="shared" si="1"/>
        <v>7323.63800000001</v>
      </c>
      <c r="F69" s="5">
        <v>7323.638</v>
      </c>
    </row>
    <row r="70" spans="1:6">
      <c r="A70" s="2">
        <v>44805</v>
      </c>
      <c r="B70">
        <v>7298.81319836463</v>
      </c>
      <c r="C70">
        <v>0.976122263721111</v>
      </c>
      <c r="D70">
        <v>1.00924073599269</v>
      </c>
      <c r="E70" s="4">
        <f t="shared" si="1"/>
        <v>7190.36999999998</v>
      </c>
      <c r="F70" s="5">
        <v>7190.37</v>
      </c>
    </row>
    <row r="71" spans="1:6">
      <c r="A71" s="2">
        <v>44835</v>
      </c>
      <c r="B71">
        <v>7411.65831593665</v>
      </c>
      <c r="C71">
        <v>1.13291282394605</v>
      </c>
      <c r="D71">
        <v>0.864611662101834</v>
      </c>
      <c r="E71" s="4">
        <f t="shared" si="1"/>
        <v>7259.939</v>
      </c>
      <c r="F71" s="5">
        <v>7259.939</v>
      </c>
    </row>
    <row r="72" spans="1:6">
      <c r="A72" s="2">
        <v>44866</v>
      </c>
      <c r="B72">
        <v>7578.91564240042</v>
      </c>
      <c r="C72">
        <v>1.08530473509202</v>
      </c>
      <c r="D72">
        <v>1.14537374039288</v>
      </c>
      <c r="E72" s="4">
        <f t="shared" si="1"/>
        <v>9421.19499999995</v>
      </c>
      <c r="F72" s="5">
        <v>9421.195</v>
      </c>
    </row>
    <row r="73" spans="1:6">
      <c r="A73" s="2">
        <v>44896</v>
      </c>
      <c r="B73">
        <v>7758.59064652817</v>
      </c>
      <c r="C73">
        <v>1.01066910264799</v>
      </c>
      <c r="D73">
        <v>1.0102127785646</v>
      </c>
      <c r="E73" s="4">
        <f t="shared" si="1"/>
        <v>7921.45</v>
      </c>
      <c r="F73" s="5">
        <v>7921.45</v>
      </c>
    </row>
    <row r="74" spans="1:8">
      <c r="A74" s="2">
        <v>44927</v>
      </c>
      <c r="B74" s="6">
        <v>7749.79583756718</v>
      </c>
      <c r="C74">
        <v>0.916836702065907</v>
      </c>
      <c r="D74" s="6">
        <v>1.06889404871092</v>
      </c>
      <c r="E74" s="4">
        <v>7483.97653803729</v>
      </c>
      <c r="F74" s="5">
        <v>3267.137</v>
      </c>
      <c r="H74" s="16">
        <f t="shared" ref="H74:H85" si="2">ABS((E74-F74))/F74</f>
        <v>1.29068341426677</v>
      </c>
    </row>
    <row r="75" spans="1:8">
      <c r="A75" s="2">
        <v>44958</v>
      </c>
      <c r="B75" s="6">
        <v>7761.27841217257</v>
      </c>
      <c r="C75">
        <v>0.461366697319703</v>
      </c>
      <c r="D75" s="6">
        <v>0.809564961368534</v>
      </c>
      <c r="E75" s="4">
        <v>7650.41989716289</v>
      </c>
      <c r="F75" s="5">
        <v>7111.848</v>
      </c>
      <c r="H75" s="16">
        <f t="shared" si="2"/>
        <v>0.0757288256389746</v>
      </c>
    </row>
    <row r="76" spans="1:8">
      <c r="A76" s="2">
        <v>44986</v>
      </c>
      <c r="B76" s="6">
        <v>7723.07769514935</v>
      </c>
      <c r="C76">
        <v>0.800760936937862</v>
      </c>
      <c r="D76" s="6">
        <v>0.727335119983335</v>
      </c>
      <c r="E76" s="4">
        <v>7862.5885792522</v>
      </c>
      <c r="F76" s="5">
        <v>12596.423</v>
      </c>
      <c r="H76" s="16">
        <f t="shared" si="2"/>
        <v>0.375807832171705</v>
      </c>
    </row>
    <row r="77" spans="1:13">
      <c r="A77" s="2">
        <v>45017</v>
      </c>
      <c r="B77" s="6">
        <v>7670.24036150203</v>
      </c>
      <c r="C77">
        <v>1.09397156560605</v>
      </c>
      <c r="D77" s="6">
        <v>0.982841731979373</v>
      </c>
      <c r="E77" s="4">
        <v>7952.64013089068</v>
      </c>
      <c r="F77" s="5">
        <v>11377.776</v>
      </c>
      <c r="H77" s="16">
        <f t="shared" si="2"/>
        <v>0.301037379283027</v>
      </c>
      <c r="K77" t="s">
        <v>2</v>
      </c>
      <c r="L77" t="s">
        <v>25</v>
      </c>
      <c r="M77" t="s">
        <v>4</v>
      </c>
    </row>
    <row r="78" spans="1:13">
      <c r="A78" s="2">
        <v>45047</v>
      </c>
      <c r="B78" s="6">
        <v>7453.03219689753</v>
      </c>
      <c r="C78">
        <v>1.23129442607638</v>
      </c>
      <c r="D78" s="6">
        <v>1.01923125005602</v>
      </c>
      <c r="E78" s="4">
        <v>7742.37258832571</v>
      </c>
      <c r="F78" s="5">
        <v>10615.6634</v>
      </c>
      <c r="H78" s="16">
        <f t="shared" si="2"/>
        <v>0.270665214542719</v>
      </c>
      <c r="K78" s="12">
        <v>0.07347</v>
      </c>
      <c r="L78" s="12">
        <v>0.09755</v>
      </c>
      <c r="M78" s="12">
        <v>0.072455</v>
      </c>
    </row>
    <row r="79" spans="1:12">
      <c r="A79" s="2">
        <v>45078</v>
      </c>
      <c r="B79" s="6">
        <v>7247.88916664705</v>
      </c>
      <c r="C79">
        <v>1.15077670181403</v>
      </c>
      <c r="D79" s="6">
        <v>0.992236428054994</v>
      </c>
      <c r="E79" s="4">
        <v>7466.18428157078</v>
      </c>
      <c r="F79" s="5">
        <v>7039.265</v>
      </c>
      <c r="H79" s="16">
        <f t="shared" si="2"/>
        <v>0.0606482752916362</v>
      </c>
      <c r="K79" t="s">
        <v>5</v>
      </c>
      <c r="L79" t="s">
        <v>6</v>
      </c>
    </row>
    <row r="80" spans="1:12">
      <c r="A80" s="2">
        <v>45108</v>
      </c>
      <c r="B80" s="6">
        <v>7050.18874931889</v>
      </c>
      <c r="C80">
        <v>1.05110358555663</v>
      </c>
      <c r="D80" s="6">
        <v>0.969719903894492</v>
      </c>
      <c r="E80" s="4">
        <v>7214.15874875847</v>
      </c>
      <c r="F80" s="5">
        <v>8466.881</v>
      </c>
      <c r="H80" s="16">
        <f t="shared" si="2"/>
        <v>0.14795557552321</v>
      </c>
      <c r="K80" s="12">
        <v>0.1343</v>
      </c>
      <c r="L80" s="12">
        <v>0.26958</v>
      </c>
    </row>
    <row r="81" spans="1:8">
      <c r="A81" s="2">
        <v>45139</v>
      </c>
      <c r="B81" s="6">
        <v>6895.47337925504</v>
      </c>
      <c r="C81">
        <v>1.07811632474282</v>
      </c>
      <c r="D81" s="6">
        <v>0.979650756567507</v>
      </c>
      <c r="E81" s="4">
        <v>7032.72816399955</v>
      </c>
      <c r="F81" s="5">
        <v>7753.81</v>
      </c>
      <c r="H81" s="16">
        <f t="shared" si="2"/>
        <v>0.0929970989746267</v>
      </c>
    </row>
    <row r="82" spans="1:8">
      <c r="A82" s="2">
        <v>45170</v>
      </c>
      <c r="B82" s="6">
        <v>6900.40780755455</v>
      </c>
      <c r="C82">
        <v>0.976122263721111</v>
      </c>
      <c r="D82" s="6">
        <v>0.971328311532069</v>
      </c>
      <c r="E82" s="4">
        <v>6928.83754235304</v>
      </c>
      <c r="F82" s="5">
        <v>8228.211</v>
      </c>
      <c r="H82" s="16">
        <f t="shared" si="2"/>
        <v>0.157916885899858</v>
      </c>
    </row>
    <row r="83" spans="1:8">
      <c r="A83" s="2">
        <v>45200</v>
      </c>
      <c r="B83" s="6">
        <v>6928.2676714434</v>
      </c>
      <c r="C83">
        <v>1.13291282394605</v>
      </c>
      <c r="D83" s="6">
        <v>0.944886360233142</v>
      </c>
      <c r="E83" s="4">
        <v>6858.0513469675</v>
      </c>
      <c r="F83" s="5">
        <v>8158.224</v>
      </c>
      <c r="H83" s="16">
        <f t="shared" si="2"/>
        <v>0.159369570268296</v>
      </c>
    </row>
    <row r="84" spans="1:8">
      <c r="A84" s="2">
        <v>45231</v>
      </c>
      <c r="B84" s="6">
        <v>6979.8631345777</v>
      </c>
      <c r="C84">
        <v>1.08530473509202</v>
      </c>
      <c r="D84" s="6">
        <v>0.982215059995285</v>
      </c>
      <c r="E84" s="4">
        <v>6946.43078573752</v>
      </c>
      <c r="F84" s="5">
        <v>7128.224</v>
      </c>
      <c r="H84" s="16">
        <f t="shared" si="2"/>
        <v>0.0255032970712593</v>
      </c>
    </row>
    <row r="85" spans="1:8">
      <c r="A85" s="2">
        <v>45261</v>
      </c>
      <c r="B85" s="6">
        <v>7040.07834606633</v>
      </c>
      <c r="C85">
        <v>1.01066910264799</v>
      </c>
      <c r="D85" s="6">
        <v>1.01775844365928</v>
      </c>
      <c r="E85" s="4">
        <v>7042.3272185279</v>
      </c>
      <c r="F85" s="5">
        <v>9735.912</v>
      </c>
      <c r="H85" s="16">
        <f t="shared" si="2"/>
        <v>0.27666486524037</v>
      </c>
    </row>
    <row r="86" spans="1:8">
      <c r="A86" s="3" t="s">
        <v>7</v>
      </c>
      <c r="B86" s="6"/>
      <c r="D86" s="6">
        <v>1.03693884860702</v>
      </c>
      <c r="E86" s="4">
        <f t="shared" si="1"/>
        <v>0</v>
      </c>
      <c r="H86" s="17">
        <f>(SUM(H74:H85))/12</f>
        <v>0.269581519514371</v>
      </c>
    </row>
    <row r="87" spans="1:5">
      <c r="A87" s="3" t="s">
        <v>8</v>
      </c>
      <c r="B87" s="6"/>
      <c r="D87" s="6">
        <v>1.02935200515835</v>
      </c>
      <c r="E87" s="4">
        <f t="shared" si="1"/>
        <v>0</v>
      </c>
    </row>
    <row r="88" spans="1:5">
      <c r="A88" s="3" t="s">
        <v>9</v>
      </c>
      <c r="B88" s="6"/>
      <c r="D88" s="6">
        <v>1.02223161740099</v>
      </c>
      <c r="E88" s="4">
        <f t="shared" si="1"/>
        <v>0</v>
      </c>
    </row>
    <row r="89" spans="1:5">
      <c r="A89" s="3" t="s">
        <v>10</v>
      </c>
      <c r="B89" s="6"/>
      <c r="D89" s="6">
        <v>1.0429289767963</v>
      </c>
      <c r="E89" s="4">
        <f t="shared" si="1"/>
        <v>0</v>
      </c>
    </row>
    <row r="90" spans="1:5">
      <c r="A90" s="3" t="s">
        <v>11</v>
      </c>
      <c r="B90" s="6"/>
      <c r="D90" s="6">
        <v>1.04283323676657</v>
      </c>
      <c r="E90" s="4">
        <f t="shared" si="1"/>
        <v>0</v>
      </c>
    </row>
    <row r="91" spans="1:5">
      <c r="A91" s="3" t="s">
        <v>12</v>
      </c>
      <c r="B91" s="6"/>
      <c r="D91" s="6">
        <v>0.985375504699206</v>
      </c>
      <c r="E91" s="4">
        <f t="shared" si="1"/>
        <v>0</v>
      </c>
    </row>
    <row r="92" spans="1:5">
      <c r="A92" s="3" t="s">
        <v>13</v>
      </c>
      <c r="B92" s="6"/>
      <c r="D92" s="6">
        <v>0.941655914818568</v>
      </c>
      <c r="E92" s="4">
        <f t="shared" si="1"/>
        <v>0</v>
      </c>
    </row>
    <row r="93" spans="1:9">
      <c r="A93" s="3" t="s">
        <v>14</v>
      </c>
      <c r="B93" s="6"/>
      <c r="D93" s="6">
        <v>1.00255190622473</v>
      </c>
      <c r="E93" s="4">
        <f t="shared" si="1"/>
        <v>0</v>
      </c>
      <c r="I93" s="16"/>
    </row>
    <row r="94" spans="1:9">
      <c r="A94" s="3" t="s">
        <v>20</v>
      </c>
      <c r="B94" s="6"/>
      <c r="D94" s="6">
        <v>0.957135475499119</v>
      </c>
      <c r="E94" s="4">
        <f t="shared" si="1"/>
        <v>0</v>
      </c>
      <c r="I94" s="16"/>
    </row>
    <row r="95" spans="1:5">
      <c r="A95" s="3" t="s">
        <v>21</v>
      </c>
      <c r="B95" s="6"/>
      <c r="D95" s="6">
        <v>0.98309388590247</v>
      </c>
      <c r="E95" s="4">
        <f t="shared" si="1"/>
        <v>0</v>
      </c>
    </row>
    <row r="96" spans="1:5">
      <c r="A96" s="3" t="s">
        <v>22</v>
      </c>
      <c r="B96" s="6"/>
      <c r="D96" s="6">
        <v>1.02014447122516</v>
      </c>
      <c r="E96" s="4">
        <f t="shared" si="1"/>
        <v>0</v>
      </c>
    </row>
    <row r="97" spans="1:5">
      <c r="A97" s="3" t="s">
        <v>23</v>
      </c>
      <c r="B97" s="6"/>
      <c r="D97" s="6">
        <v>1.03503391597017</v>
      </c>
      <c r="E97" s="4">
        <f t="shared" si="1"/>
        <v>0</v>
      </c>
    </row>
    <row r="98" spans="4:4">
      <c r="D98" t="s">
        <v>24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3"/>
  <sheetViews>
    <sheetView tabSelected="1" topLeftCell="B49" workbookViewId="0">
      <selection activeCell="M76" sqref="M76"/>
    </sheetView>
  </sheetViews>
  <sheetFormatPr defaultColWidth="8.88888888888889" defaultRowHeight="13.8"/>
  <cols>
    <col min="1" max="1" width="11.8888888888889" customWidth="1"/>
    <col min="2" max="3" width="14.1111111111111" customWidth="1"/>
    <col min="4" max="6" width="11.8888888888889" customWidth="1"/>
    <col min="8" max="8" width="12.8888888888889"/>
    <col min="9" max="9" width="11.8888888888889" customWidth="1"/>
    <col min="10" max="10" width="12.8888888888889" customWidth="1"/>
    <col min="11" max="11" width="12.8888888888889"/>
    <col min="12" max="12" width="12.8888888888889" customWidth="1"/>
    <col min="14" max="14" width="12.8888888888889" customWidth="1"/>
  </cols>
  <sheetData>
    <row r="1" spans="1:6">
      <c r="A1" s="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 s="2">
        <v>43831</v>
      </c>
      <c r="B2">
        <v>148725.551401067</v>
      </c>
      <c r="C2">
        <v>1.00920998708271</v>
      </c>
      <c r="D2">
        <v>1.22810901272773</v>
      </c>
      <c r="E2">
        <f t="shared" ref="E2:E57" si="0">B2*C2*D2</f>
        <v>184333.405200001</v>
      </c>
      <c r="F2" s="4">
        <v>184333.4052</v>
      </c>
    </row>
    <row r="3" spans="1:6">
      <c r="A3" s="2">
        <v>43862</v>
      </c>
      <c r="B3">
        <v>156312.961268719</v>
      </c>
      <c r="C3">
        <v>0.841803695128921</v>
      </c>
      <c r="D3">
        <v>0.775788559722576</v>
      </c>
      <c r="E3">
        <f t="shared" si="0"/>
        <v>102082.0045</v>
      </c>
      <c r="F3" s="4">
        <v>102082.0045</v>
      </c>
    </row>
    <row r="4" spans="1:6">
      <c r="A4" s="2">
        <v>43891</v>
      </c>
      <c r="B4">
        <v>165261.507296509</v>
      </c>
      <c r="C4">
        <v>0.859746851051946</v>
      </c>
      <c r="D4">
        <v>0.895888722790764</v>
      </c>
      <c r="E4">
        <f t="shared" si="0"/>
        <v>127290.6116</v>
      </c>
      <c r="F4" s="4">
        <v>127290.6116</v>
      </c>
    </row>
    <row r="5" spans="1:6">
      <c r="A5" s="2">
        <v>43922</v>
      </c>
      <c r="B5">
        <v>175056.074836026</v>
      </c>
      <c r="C5">
        <v>1.03446582480859</v>
      </c>
      <c r="D5">
        <v>1.03130182322421</v>
      </c>
      <c r="E5">
        <f t="shared" si="0"/>
        <v>186757.959199999</v>
      </c>
      <c r="F5" s="4">
        <v>186757.9592</v>
      </c>
    </row>
    <row r="6" spans="1:6">
      <c r="A6" s="2">
        <v>43952</v>
      </c>
      <c r="B6">
        <v>184757.92977297</v>
      </c>
      <c r="C6">
        <v>1.00620131779642</v>
      </c>
      <c r="D6">
        <v>1.01654074526458</v>
      </c>
      <c r="E6">
        <f t="shared" si="0"/>
        <v>188978.657699999</v>
      </c>
      <c r="F6" s="4">
        <v>188978.6577</v>
      </c>
    </row>
    <row r="7" spans="1:6">
      <c r="A7" s="2">
        <v>43983</v>
      </c>
      <c r="B7">
        <v>193254.921958681</v>
      </c>
      <c r="C7">
        <v>1.05788639780065</v>
      </c>
      <c r="D7">
        <v>1.03686021828789</v>
      </c>
      <c r="E7">
        <f t="shared" si="0"/>
        <v>211977.520899999</v>
      </c>
      <c r="F7" s="4">
        <v>211977.5209</v>
      </c>
    </row>
    <row r="8" spans="1:6">
      <c r="A8" s="2">
        <v>44013</v>
      </c>
      <c r="B8">
        <v>199610.190751097</v>
      </c>
      <c r="C8">
        <v>1.06074251440484</v>
      </c>
      <c r="D8">
        <v>0.971469161961987</v>
      </c>
      <c r="E8">
        <f t="shared" si="0"/>
        <v>205694.0382</v>
      </c>
      <c r="F8" s="4">
        <v>205694.0382</v>
      </c>
    </row>
    <row r="9" spans="1:6">
      <c r="A9" s="2">
        <v>44044</v>
      </c>
      <c r="B9">
        <v>203879.732928523</v>
      </c>
      <c r="C9">
        <v>1.08086855412499</v>
      </c>
      <c r="D9">
        <v>0.988759150934762</v>
      </c>
      <c r="E9">
        <f t="shared" si="0"/>
        <v>217890.0778</v>
      </c>
      <c r="F9" s="4">
        <v>217890.0778</v>
      </c>
    </row>
    <row r="10" spans="1:6">
      <c r="A10" s="2">
        <v>44075</v>
      </c>
      <c r="B10">
        <v>207683.535711614</v>
      </c>
      <c r="C10">
        <v>1.02779180272128</v>
      </c>
      <c r="D10">
        <v>1.02518276389268</v>
      </c>
      <c r="E10">
        <f t="shared" si="0"/>
        <v>218830.833400001</v>
      </c>
      <c r="F10" s="4">
        <v>218830.8334</v>
      </c>
    </row>
    <row r="11" spans="1:6">
      <c r="A11" s="2">
        <v>44105</v>
      </c>
      <c r="B11">
        <v>211516.802263665</v>
      </c>
      <c r="C11">
        <v>0.989257710452258</v>
      </c>
      <c r="D11">
        <v>0.976220881327842</v>
      </c>
      <c r="E11">
        <f t="shared" si="0"/>
        <v>204268.9747</v>
      </c>
      <c r="F11" s="4">
        <v>204268.9747</v>
      </c>
    </row>
    <row r="12" spans="1:6">
      <c r="A12" s="2">
        <v>44136</v>
      </c>
      <c r="B12">
        <v>215193.772767969</v>
      </c>
      <c r="C12">
        <v>1.03063212182467</v>
      </c>
      <c r="D12">
        <v>0.994821555792888</v>
      </c>
      <c r="E12">
        <f t="shared" si="0"/>
        <v>220637.110199999</v>
      </c>
      <c r="F12" s="4">
        <v>220637.1102</v>
      </c>
    </row>
    <row r="13" spans="1:6">
      <c r="A13" s="2">
        <v>44166</v>
      </c>
      <c r="B13">
        <v>217572.707292644</v>
      </c>
      <c r="C13">
        <v>1.00139322280273</v>
      </c>
      <c r="D13">
        <v>0.991820173846364</v>
      </c>
      <c r="E13">
        <f t="shared" si="0"/>
        <v>216093.648100001</v>
      </c>
      <c r="F13" s="4">
        <v>216093.6481</v>
      </c>
    </row>
    <row r="14" spans="1:6">
      <c r="A14" s="2">
        <v>44197</v>
      </c>
      <c r="B14">
        <v>217781.588037153</v>
      </c>
      <c r="C14">
        <v>1.00920998708271</v>
      </c>
      <c r="D14">
        <v>1.03735215932056</v>
      </c>
      <c r="E14">
        <f t="shared" si="0"/>
        <v>227996.8859</v>
      </c>
      <c r="F14" s="5">
        <v>227996.8859</v>
      </c>
    </row>
    <row r="15" spans="1:6">
      <c r="A15" s="2">
        <v>44228</v>
      </c>
      <c r="B15">
        <v>216567.057385092</v>
      </c>
      <c r="C15">
        <v>0.841803695128921</v>
      </c>
      <c r="D15">
        <v>1.05597672276134</v>
      </c>
      <c r="E15">
        <f t="shared" si="0"/>
        <v>192511.894700001</v>
      </c>
      <c r="F15" s="5">
        <v>192511.8947</v>
      </c>
    </row>
    <row r="16" spans="1:6">
      <c r="A16" s="2">
        <v>44256</v>
      </c>
      <c r="B16">
        <v>215959.090937751</v>
      </c>
      <c r="C16">
        <v>0.859746851051946</v>
      </c>
      <c r="D16">
        <v>0.916182856400252</v>
      </c>
      <c r="E16">
        <f t="shared" si="0"/>
        <v>170107.8069</v>
      </c>
      <c r="F16" s="5">
        <v>170107.8069</v>
      </c>
    </row>
    <row r="17" spans="1:6">
      <c r="A17" s="2">
        <v>44287</v>
      </c>
      <c r="B17">
        <v>217236.277112495</v>
      </c>
      <c r="C17">
        <v>1.03446582480859</v>
      </c>
      <c r="D17">
        <v>1.00657191031808</v>
      </c>
      <c r="E17">
        <f t="shared" si="0"/>
        <v>226200.367299999</v>
      </c>
      <c r="F17" s="5">
        <v>226200.3673</v>
      </c>
    </row>
    <row r="18" spans="1:6">
      <c r="A18" s="2">
        <v>44317</v>
      </c>
      <c r="B18">
        <v>220894.595437707</v>
      </c>
      <c r="C18">
        <v>1.00620131779642</v>
      </c>
      <c r="D18">
        <v>0.960025564582404</v>
      </c>
      <c r="E18">
        <f t="shared" si="0"/>
        <v>213379.5378</v>
      </c>
      <c r="F18" s="5">
        <v>213379.5378</v>
      </c>
    </row>
    <row r="19" spans="1:6">
      <c r="A19" s="2">
        <v>44348</v>
      </c>
      <c r="B19">
        <v>226438.921900053</v>
      </c>
      <c r="C19">
        <v>1.05788639780065</v>
      </c>
      <c r="D19">
        <v>0.981908546361127</v>
      </c>
      <c r="E19">
        <f t="shared" si="0"/>
        <v>235212.9082</v>
      </c>
      <c r="F19" s="5">
        <v>235212.9082</v>
      </c>
    </row>
    <row r="20" spans="1:6">
      <c r="A20" s="2">
        <v>44378</v>
      </c>
      <c r="B20">
        <v>232360.3437745</v>
      </c>
      <c r="C20">
        <v>1.06074251440484</v>
      </c>
      <c r="D20">
        <v>1.0636534140271</v>
      </c>
      <c r="E20">
        <f t="shared" si="0"/>
        <v>262163.4384</v>
      </c>
      <c r="F20" s="5">
        <v>262163.4384</v>
      </c>
    </row>
    <row r="21" spans="1:6">
      <c r="A21" s="2">
        <v>44409</v>
      </c>
      <c r="B21">
        <v>236690.482142941</v>
      </c>
      <c r="C21">
        <v>1.08086855412499</v>
      </c>
      <c r="D21">
        <v>1.17071766873737</v>
      </c>
      <c r="E21">
        <f t="shared" si="0"/>
        <v>299506.222199998</v>
      </c>
      <c r="F21" s="5">
        <v>299506.2222</v>
      </c>
    </row>
    <row r="22" spans="1:6">
      <c r="A22" s="2">
        <v>44440</v>
      </c>
      <c r="B22">
        <v>237318.122352504</v>
      </c>
      <c r="C22">
        <v>1.02779180272128</v>
      </c>
      <c r="D22">
        <v>0.983683500420352</v>
      </c>
      <c r="E22">
        <f t="shared" si="0"/>
        <v>239933.804300001</v>
      </c>
      <c r="F22" s="5">
        <v>239933.8043</v>
      </c>
    </row>
    <row r="23" spans="1:6">
      <c r="A23" s="2">
        <v>44470</v>
      </c>
      <c r="B23">
        <v>234790.50132939</v>
      </c>
      <c r="C23">
        <v>0.989257710452258</v>
      </c>
      <c r="D23">
        <v>1.00388980831799</v>
      </c>
      <c r="E23">
        <f t="shared" si="0"/>
        <v>233171.793000001</v>
      </c>
      <c r="F23" s="5">
        <v>233171.793</v>
      </c>
    </row>
    <row r="24" spans="1:6">
      <c r="A24" s="2">
        <v>44501</v>
      </c>
      <c r="B24">
        <v>231363.294618531</v>
      </c>
      <c r="C24">
        <v>1.03063212182467</v>
      </c>
      <c r="D24">
        <v>0.997686635270891</v>
      </c>
      <c r="E24">
        <f t="shared" si="0"/>
        <v>237898.820399999</v>
      </c>
      <c r="F24" s="5">
        <v>237898.8204</v>
      </c>
    </row>
    <row r="25" spans="1:6">
      <c r="A25" s="2">
        <v>44531</v>
      </c>
      <c r="B25">
        <v>228716.892782249</v>
      </c>
      <c r="C25">
        <v>1.00139322280273</v>
      </c>
      <c r="D25">
        <v>1.01742276467805</v>
      </c>
      <c r="E25">
        <f t="shared" si="0"/>
        <v>233025.978800002</v>
      </c>
      <c r="F25" s="5">
        <v>233025.9788</v>
      </c>
    </row>
    <row r="26" spans="1:6">
      <c r="A26" s="2">
        <v>44562</v>
      </c>
      <c r="B26">
        <v>228562.423230504</v>
      </c>
      <c r="C26">
        <v>1.00920998708271</v>
      </c>
      <c r="D26">
        <v>0.963848901505484</v>
      </c>
      <c r="E26">
        <f t="shared" si="0"/>
        <v>222328.597400001</v>
      </c>
      <c r="F26" s="5">
        <v>222328.5974</v>
      </c>
    </row>
    <row r="27" spans="1:6">
      <c r="A27" s="2">
        <v>44593</v>
      </c>
      <c r="B27">
        <v>230433.454226628</v>
      </c>
      <c r="C27">
        <v>0.841803695128921</v>
      </c>
      <c r="D27">
        <v>0.95351555753658</v>
      </c>
      <c r="E27">
        <f t="shared" si="0"/>
        <v>184962.6935</v>
      </c>
      <c r="F27" s="5">
        <v>184962.6935</v>
      </c>
    </row>
    <row r="28" spans="1:6">
      <c r="A28" s="2">
        <v>44621</v>
      </c>
      <c r="B28">
        <v>232803.950561108</v>
      </c>
      <c r="C28">
        <v>0.859746851051946</v>
      </c>
      <c r="D28">
        <v>1.12017752458874</v>
      </c>
      <c r="E28">
        <f t="shared" si="0"/>
        <v>224206.291000001</v>
      </c>
      <c r="F28" s="5">
        <v>224206.291</v>
      </c>
    </row>
    <row r="29" spans="1:6">
      <c r="A29" s="2">
        <v>44652</v>
      </c>
      <c r="B29">
        <v>234181.772606306</v>
      </c>
      <c r="C29">
        <v>1.03446582480859</v>
      </c>
      <c r="D29">
        <v>1.00313837937365</v>
      </c>
      <c r="E29">
        <f t="shared" si="0"/>
        <v>243013.3225</v>
      </c>
      <c r="F29" s="5">
        <v>243013.3225</v>
      </c>
    </row>
    <row r="30" spans="1:6">
      <c r="A30" s="2">
        <v>44682</v>
      </c>
      <c r="B30">
        <v>233753.261665845</v>
      </c>
      <c r="C30">
        <v>1.00620131779642</v>
      </c>
      <c r="D30">
        <v>1.00781774902541</v>
      </c>
      <c r="E30">
        <f t="shared" si="0"/>
        <v>237041.596700001</v>
      </c>
      <c r="F30" s="5">
        <v>237041.5967</v>
      </c>
    </row>
    <row r="31" spans="1:6">
      <c r="A31" s="2">
        <v>44713</v>
      </c>
      <c r="B31">
        <v>232029.993416114</v>
      </c>
      <c r="C31">
        <v>1.05788639780065</v>
      </c>
      <c r="D31">
        <v>1.02549199282753</v>
      </c>
      <c r="E31">
        <f t="shared" si="0"/>
        <v>251718.673500001</v>
      </c>
      <c r="F31" s="5">
        <v>251718.6735</v>
      </c>
    </row>
    <row r="32" spans="1:6">
      <c r="A32" s="2">
        <v>44743</v>
      </c>
      <c r="B32">
        <v>230092.423088023</v>
      </c>
      <c r="C32">
        <v>1.06074251440484</v>
      </c>
      <c r="D32">
        <v>0.967043595887836</v>
      </c>
      <c r="E32">
        <f t="shared" si="0"/>
        <v>236025.1849</v>
      </c>
      <c r="F32" s="5">
        <v>236025.1849</v>
      </c>
    </row>
    <row r="33" spans="1:6">
      <c r="A33" s="2">
        <v>44774</v>
      </c>
      <c r="B33">
        <v>229187.821988043</v>
      </c>
      <c r="C33">
        <v>1.08086855412499</v>
      </c>
      <c r="D33">
        <v>0.802612066007281</v>
      </c>
      <c r="E33">
        <f t="shared" si="0"/>
        <v>198824.5938</v>
      </c>
      <c r="F33" s="5">
        <v>198824.5938</v>
      </c>
    </row>
    <row r="34" spans="1:6">
      <c r="A34" s="2">
        <v>44805</v>
      </c>
      <c r="B34">
        <v>230455.01005808</v>
      </c>
      <c r="C34">
        <v>1.02779180272128</v>
      </c>
      <c r="D34">
        <v>0.967816838519173</v>
      </c>
      <c r="E34">
        <f t="shared" si="0"/>
        <v>229236.874000001</v>
      </c>
      <c r="F34" s="5">
        <v>229236.874</v>
      </c>
    </row>
    <row r="35" spans="1:6">
      <c r="A35" s="2">
        <v>44835</v>
      </c>
      <c r="B35">
        <v>234686.27416168</v>
      </c>
      <c r="C35">
        <v>0.989257710452258</v>
      </c>
      <c r="D35">
        <v>1.03414994811776</v>
      </c>
      <c r="E35">
        <f t="shared" si="0"/>
        <v>240093.636000001</v>
      </c>
      <c r="F35" s="5">
        <v>240093.636</v>
      </c>
    </row>
    <row r="36" spans="1:6">
      <c r="A36" s="2">
        <v>44866</v>
      </c>
      <c r="B36">
        <v>240783.38689622</v>
      </c>
      <c r="C36">
        <v>1.03063212182467</v>
      </c>
      <c r="D36">
        <v>1.02300402937267</v>
      </c>
      <c r="E36">
        <f t="shared" si="0"/>
        <v>253867.751999999</v>
      </c>
      <c r="F36" s="5">
        <v>253867.752</v>
      </c>
    </row>
    <row r="37" spans="1:6">
      <c r="A37" s="2">
        <v>44896</v>
      </c>
      <c r="B37">
        <v>248063.572667712</v>
      </c>
      <c r="C37">
        <v>1.00139322280273</v>
      </c>
      <c r="D37">
        <v>0.956916672031168</v>
      </c>
      <c r="E37">
        <f t="shared" si="0"/>
        <v>237706.886300001</v>
      </c>
      <c r="F37" s="5">
        <v>237706.8863</v>
      </c>
    </row>
    <row r="38" spans="1:6">
      <c r="A38" s="2">
        <v>44927</v>
      </c>
      <c r="B38">
        <v>254827.63110659</v>
      </c>
      <c r="C38">
        <v>1.00920998708271</v>
      </c>
      <c r="D38">
        <v>0.793610825875066</v>
      </c>
      <c r="E38">
        <f t="shared" si="0"/>
        <v>204096.539000001</v>
      </c>
      <c r="F38" s="5">
        <v>204096.539</v>
      </c>
    </row>
    <row r="39" spans="1:6">
      <c r="A39" s="2">
        <v>44958</v>
      </c>
      <c r="B39">
        <v>259709.995446315</v>
      </c>
      <c r="C39">
        <v>0.841803695128921</v>
      </c>
      <c r="D39">
        <v>1.06588759894801</v>
      </c>
      <c r="E39">
        <f t="shared" si="0"/>
        <v>233029.499199999</v>
      </c>
      <c r="F39" s="5">
        <v>233029.4992</v>
      </c>
    </row>
    <row r="40" spans="1:6">
      <c r="A40" s="2">
        <v>44986</v>
      </c>
      <c r="B40">
        <v>262292.149063496</v>
      </c>
      <c r="C40">
        <v>0.859746851051946</v>
      </c>
      <c r="D40">
        <v>1.07187102735739</v>
      </c>
      <c r="E40">
        <f t="shared" si="0"/>
        <v>241712.114399999</v>
      </c>
      <c r="F40" s="5">
        <v>241712.1144</v>
      </c>
    </row>
    <row r="41" spans="1:6">
      <c r="A41" s="2">
        <v>45017</v>
      </c>
      <c r="B41">
        <v>262832.488006377</v>
      </c>
      <c r="C41">
        <v>1.03446582480859</v>
      </c>
      <c r="D41">
        <v>0.960218995178468</v>
      </c>
      <c r="E41">
        <f t="shared" si="0"/>
        <v>261075.1203</v>
      </c>
      <c r="F41" s="5">
        <v>261075.1203</v>
      </c>
    </row>
    <row r="42" spans="1:6">
      <c r="A42" s="2">
        <v>45047</v>
      </c>
      <c r="B42">
        <v>262045.150120777</v>
      </c>
      <c r="C42">
        <v>1.00620131779642</v>
      </c>
      <c r="D42">
        <v>1.02241535402302</v>
      </c>
      <c r="E42">
        <f t="shared" si="0"/>
        <v>269580.4357</v>
      </c>
      <c r="F42" s="5">
        <v>269580.4357</v>
      </c>
    </row>
    <row r="43" spans="1:6">
      <c r="A43" s="2">
        <v>45078</v>
      </c>
      <c r="B43">
        <v>260211.735514002</v>
      </c>
      <c r="C43">
        <v>1.05788639780065</v>
      </c>
      <c r="D43">
        <v>0.963923982235911</v>
      </c>
      <c r="E43">
        <f t="shared" si="0"/>
        <v>265343.6494</v>
      </c>
      <c r="F43" s="5">
        <v>265343.6494</v>
      </c>
    </row>
    <row r="44" spans="1:6">
      <c r="A44" s="2">
        <v>45108</v>
      </c>
      <c r="B44">
        <v>258764.211539245</v>
      </c>
      <c r="C44">
        <v>1.06074251440484</v>
      </c>
      <c r="D44">
        <v>1.00249165997982</v>
      </c>
      <c r="E44">
        <f t="shared" si="0"/>
        <v>275166.1167</v>
      </c>
      <c r="F44" s="5">
        <v>275166.1167</v>
      </c>
    </row>
    <row r="45" spans="1:6">
      <c r="A45" s="2">
        <v>45139</v>
      </c>
      <c r="B45">
        <v>258922.22261585</v>
      </c>
      <c r="C45">
        <v>1.08086855412499</v>
      </c>
      <c r="D45">
        <v>1.00538383522988</v>
      </c>
      <c r="E45">
        <f t="shared" si="0"/>
        <v>281367.6133</v>
      </c>
      <c r="F45" s="5">
        <v>281367.6133</v>
      </c>
    </row>
    <row r="46" spans="1:6">
      <c r="A46" s="2">
        <v>45170</v>
      </c>
      <c r="B46">
        <v>260196.478710889</v>
      </c>
      <c r="C46">
        <v>1.02779180272128</v>
      </c>
      <c r="D46">
        <v>1.01842421594973</v>
      </c>
      <c r="E46">
        <f t="shared" si="0"/>
        <v>272354.955600001</v>
      </c>
      <c r="F46" s="5">
        <v>272354.9556</v>
      </c>
    </row>
    <row r="47" spans="1:6">
      <c r="A47" s="2">
        <v>45200</v>
      </c>
      <c r="B47">
        <v>261654.336106179</v>
      </c>
      <c r="C47">
        <v>0.989257710452258</v>
      </c>
      <c r="D47">
        <v>0.980518180626615</v>
      </c>
      <c r="E47">
        <f t="shared" si="0"/>
        <v>253800.825799999</v>
      </c>
      <c r="F47" s="5">
        <v>253800.8258</v>
      </c>
    </row>
    <row r="48" spans="1:6">
      <c r="A48" s="2">
        <v>45231</v>
      </c>
      <c r="B48">
        <v>263096.612843947</v>
      </c>
      <c r="C48">
        <v>1.03063212182467</v>
      </c>
      <c r="D48">
        <v>0.980399305707056</v>
      </c>
      <c r="E48">
        <f t="shared" si="0"/>
        <v>265840.977999999</v>
      </c>
      <c r="F48" s="5">
        <v>265840.978</v>
      </c>
    </row>
    <row r="49" spans="1:6">
      <c r="A49" s="2">
        <v>45261</v>
      </c>
      <c r="B49">
        <v>265437.517595876</v>
      </c>
      <c r="C49">
        <v>1.00139322280273</v>
      </c>
      <c r="D49">
        <v>1.02895083543116</v>
      </c>
      <c r="E49">
        <f t="shared" si="0"/>
        <v>273502.675500002</v>
      </c>
      <c r="F49" s="5">
        <v>273502.6755</v>
      </c>
    </row>
    <row r="50" spans="1:12">
      <c r="A50" s="3" t="s">
        <v>7</v>
      </c>
      <c r="B50" s="6">
        <v>266152.257723808</v>
      </c>
      <c r="C50">
        <v>1.00920998708271</v>
      </c>
      <c r="D50" s="6">
        <v>1.0180044748065</v>
      </c>
      <c r="E50">
        <f t="shared" si="0"/>
        <v>273439.581826671</v>
      </c>
      <c r="F50" s="5">
        <v>274707.3389</v>
      </c>
      <c r="H50" s="7">
        <f t="shared" ref="H50:H57" si="1">ABS((E50-F50))/F50</f>
        <v>0.00461493703956179</v>
      </c>
      <c r="J50" t="s">
        <v>26</v>
      </c>
      <c r="L50" t="s">
        <v>27</v>
      </c>
    </row>
    <row r="51" spans="1:8">
      <c r="A51" s="3" t="s">
        <v>8</v>
      </c>
      <c r="B51" s="6">
        <v>266524.05798019</v>
      </c>
      <c r="C51">
        <v>0.841803695128921</v>
      </c>
      <c r="D51" s="6">
        <v>1.01856299421146</v>
      </c>
      <c r="E51">
        <f t="shared" si="0"/>
        <v>228525.747620475</v>
      </c>
      <c r="F51" s="5">
        <v>182262.2541</v>
      </c>
      <c r="H51" s="11">
        <f t="shared" si="1"/>
        <v>0.253829262394022</v>
      </c>
    </row>
    <row r="52" spans="1:8">
      <c r="A52" s="3" t="s">
        <v>9</v>
      </c>
      <c r="B52" s="6">
        <v>266824.415688641</v>
      </c>
      <c r="C52">
        <v>0.859746851051946</v>
      </c>
      <c r="D52" s="6">
        <v>1.01735173484673</v>
      </c>
      <c r="E52">
        <v>271918.099694824</v>
      </c>
      <c r="F52" s="5">
        <v>274899.1143</v>
      </c>
      <c r="H52" s="11">
        <f t="shared" si="1"/>
        <v>0.0108440313195145</v>
      </c>
    </row>
    <row r="53" spans="1:8">
      <c r="A53" s="3" t="s">
        <v>10</v>
      </c>
      <c r="B53" s="6">
        <v>266925.231488233</v>
      </c>
      <c r="C53">
        <v>1.03446582480859</v>
      </c>
      <c r="D53" s="6">
        <v>1.00643880056336</v>
      </c>
      <c r="E53">
        <f t="shared" si="0"/>
        <v>277902.943750835</v>
      </c>
      <c r="F53" s="5">
        <v>266819.725</v>
      </c>
      <c r="H53" s="7">
        <f t="shared" si="1"/>
        <v>0.0415382286704429</v>
      </c>
    </row>
    <row r="54" spans="1:8">
      <c r="A54" s="3" t="s">
        <v>11</v>
      </c>
      <c r="B54" s="6">
        <v>266897.198729242</v>
      </c>
      <c r="C54">
        <v>1.00620131779642</v>
      </c>
      <c r="D54" s="6">
        <v>1.0160366535791</v>
      </c>
      <c r="E54">
        <f t="shared" si="0"/>
        <v>272858.993490227</v>
      </c>
      <c r="F54" s="5">
        <v>276196.3076</v>
      </c>
      <c r="H54" s="7">
        <f t="shared" si="1"/>
        <v>0.0120831235535795</v>
      </c>
    </row>
    <row r="55" spans="1:8">
      <c r="A55" s="3" t="s">
        <v>12</v>
      </c>
      <c r="B55" s="6">
        <v>266819.85331008</v>
      </c>
      <c r="C55">
        <v>1.05788639780065</v>
      </c>
      <c r="D55" s="6">
        <v>0.998299218371452</v>
      </c>
      <c r="E55">
        <f t="shared" si="0"/>
        <v>281785.022194527</v>
      </c>
      <c r="F55" s="5">
        <v>274564.8031</v>
      </c>
      <c r="H55" s="7">
        <f t="shared" si="1"/>
        <v>0.0262969579968255</v>
      </c>
    </row>
    <row r="56" spans="1:8">
      <c r="A56" s="3" t="s">
        <v>13</v>
      </c>
      <c r="B56" s="6">
        <v>266570.585506469</v>
      </c>
      <c r="C56">
        <v>1.06074251440484</v>
      </c>
      <c r="D56" s="6">
        <v>0.969731250490683</v>
      </c>
      <c r="E56">
        <f t="shared" si="0"/>
        <v>274203.878191249</v>
      </c>
      <c r="F56" s="5">
        <v>293242.3967</v>
      </c>
      <c r="H56" s="7">
        <f t="shared" si="1"/>
        <v>0.064924167593094</v>
      </c>
    </row>
    <row r="57" spans="1:8">
      <c r="A57" s="3" t="s">
        <v>14</v>
      </c>
      <c r="B57" s="6">
        <v>266421.380945161</v>
      </c>
      <c r="C57">
        <v>1.08086855412499</v>
      </c>
      <c r="D57" s="6">
        <v>1.00586704338881</v>
      </c>
      <c r="E57">
        <f t="shared" si="0"/>
        <v>289656.00471802</v>
      </c>
      <c r="F57" s="5">
        <v>290608.5</v>
      </c>
      <c r="H57" s="7">
        <f t="shared" si="1"/>
        <v>0.00327758920327508</v>
      </c>
    </row>
    <row r="60" spans="8:8">
      <c r="H60">
        <f>SUM(H50:H57)/8</f>
        <v>0.0521760372212894</v>
      </c>
    </row>
    <row r="64" spans="8:15">
      <c r="H64" t="s">
        <v>28</v>
      </c>
      <c r="I64" t="s">
        <v>29</v>
      </c>
      <c r="J64" t="s">
        <v>25</v>
      </c>
      <c r="K64" t="s">
        <v>29</v>
      </c>
      <c r="L64" t="s">
        <v>4</v>
      </c>
      <c r="M64" t="s">
        <v>29</v>
      </c>
      <c r="N64" t="s">
        <v>5</v>
      </c>
      <c r="O64" t="s">
        <v>29</v>
      </c>
    </row>
    <row r="65" spans="8:15">
      <c r="H65">
        <v>273439.581826671</v>
      </c>
      <c r="I65" s="12">
        <v>0.0046</v>
      </c>
      <c r="J65">
        <v>207894.954842198</v>
      </c>
      <c r="K65" s="12">
        <v>0.0359609805200605</v>
      </c>
      <c r="L65">
        <v>4166.94462600513</v>
      </c>
      <c r="M65" s="12">
        <v>0.0198149093319975</v>
      </c>
      <c r="N65">
        <v>192365.936087638</v>
      </c>
      <c r="O65" s="12">
        <v>0.00223716210487246</v>
      </c>
    </row>
    <row r="66" spans="8:15">
      <c r="H66">
        <v>228525.747620475</v>
      </c>
      <c r="I66" s="12">
        <v>0.25382</v>
      </c>
      <c r="J66">
        <v>152510.895038963</v>
      </c>
      <c r="K66" s="12">
        <v>0.0031784358197568</v>
      </c>
      <c r="L66">
        <v>4037.97241511331</v>
      </c>
      <c r="M66" s="12">
        <v>0.0684456898739559</v>
      </c>
      <c r="N66">
        <v>159949.955971265</v>
      </c>
      <c r="O66" s="12">
        <v>0.0158986633015432</v>
      </c>
    </row>
    <row r="67" spans="8:15">
      <c r="H67">
        <v>271918.099694824</v>
      </c>
      <c r="I67" s="12">
        <v>0.01084</v>
      </c>
      <c r="J67">
        <v>173070.954251344</v>
      </c>
      <c r="K67" s="12">
        <v>0.0145646548164336</v>
      </c>
      <c r="L67">
        <v>4647.72130463529</v>
      </c>
      <c r="M67" s="12">
        <v>0.00196440887115092</v>
      </c>
      <c r="N67">
        <v>139728.787694687</v>
      </c>
      <c r="O67" s="12">
        <v>0.0475139884777124</v>
      </c>
    </row>
    <row r="68" spans="8:15">
      <c r="H68">
        <v>277902.943750835</v>
      </c>
      <c r="I68" s="12">
        <v>0.04153</v>
      </c>
      <c r="J68">
        <v>168077.442841338</v>
      </c>
      <c r="K68" s="12">
        <v>0.0356309526789171</v>
      </c>
      <c r="L68">
        <v>4707.30649120796</v>
      </c>
      <c r="M68" s="12">
        <v>0.013644452850337</v>
      </c>
      <c r="N68">
        <v>117284.286175374</v>
      </c>
      <c r="O68" s="12">
        <v>0.0439835987606411</v>
      </c>
    </row>
    <row r="69" spans="8:15">
      <c r="H69">
        <v>272858.993490227</v>
      </c>
      <c r="I69" s="12">
        <v>0.01208</v>
      </c>
      <c r="J69">
        <v>176345.75193444</v>
      </c>
      <c r="K69" s="12">
        <v>0.0734295317302294</v>
      </c>
      <c r="L69">
        <v>6521.76934052107</v>
      </c>
      <c r="M69" s="12">
        <v>0.00626246038624414</v>
      </c>
      <c r="N69">
        <v>160121.321569003</v>
      </c>
      <c r="O69" s="12">
        <v>0.0446932483242444</v>
      </c>
    </row>
    <row r="70" spans="8:15">
      <c r="H70">
        <v>281785.022194527</v>
      </c>
      <c r="I70" s="12">
        <v>0.02629</v>
      </c>
      <c r="J70">
        <v>211967.919688796</v>
      </c>
      <c r="K70" s="12">
        <v>0.0451358569433733</v>
      </c>
      <c r="L70">
        <v>6231.39753458046</v>
      </c>
      <c r="M70" s="12">
        <v>0.00242591133185319</v>
      </c>
      <c r="N70">
        <v>171344.073097511</v>
      </c>
      <c r="O70" s="12">
        <v>0.0243855839446656</v>
      </c>
    </row>
    <row r="71" spans="8:15">
      <c r="H71">
        <v>274203.878191249</v>
      </c>
      <c r="I71" s="12">
        <v>0.06492</v>
      </c>
      <c r="J71">
        <v>241267.214623551</v>
      </c>
      <c r="K71" s="12">
        <v>0.00338058455904919</v>
      </c>
      <c r="L71">
        <v>6147.5571989358</v>
      </c>
      <c r="M71" s="12">
        <v>0.0255684213573085</v>
      </c>
      <c r="N71">
        <v>215969.408157931</v>
      </c>
      <c r="O71" s="12">
        <v>0.068291098813169</v>
      </c>
    </row>
    <row r="72" spans="8:15">
      <c r="H72">
        <v>289656.00471802</v>
      </c>
      <c r="I72" s="12">
        <v>0.00327</v>
      </c>
      <c r="J72">
        <v>265507.501737019</v>
      </c>
      <c r="K72" s="12">
        <v>0.0528595915303581</v>
      </c>
      <c r="L72">
        <v>6672.82001808332</v>
      </c>
      <c r="M72" s="12">
        <v>0.112250342033862</v>
      </c>
      <c r="N72">
        <v>230262.105788174</v>
      </c>
      <c r="O72" s="12">
        <v>0.310523343544415</v>
      </c>
    </row>
    <row r="73" spans="7:15">
      <c r="G73" t="s">
        <v>30</v>
      </c>
      <c r="I73" s="12">
        <v>0.05217</v>
      </c>
      <c r="K73" s="12">
        <v>0.0330175735747722</v>
      </c>
      <c r="M73" s="12">
        <v>0.0312970745045887</v>
      </c>
      <c r="O73" s="12">
        <v>0.069690835908908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topLeftCell="A34" workbookViewId="0">
      <selection activeCell="H50" sqref="H50:H60"/>
    </sheetView>
  </sheetViews>
  <sheetFormatPr defaultColWidth="8.88888888888889" defaultRowHeight="13.8"/>
  <cols>
    <col min="1" max="1" width="11.8888888888889" customWidth="1"/>
    <col min="2" max="3" width="14.1111111111111" customWidth="1"/>
    <col min="4" max="6" width="11.8888888888889" customWidth="1"/>
  </cols>
  <sheetData>
    <row r="1" spans="1:6">
      <c r="A1" s="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 s="2">
        <v>43831</v>
      </c>
      <c r="B2">
        <v>117242.709519228</v>
      </c>
      <c r="C2">
        <v>1.0882420392203</v>
      </c>
      <c r="D2">
        <v>1.21827075206993</v>
      </c>
      <c r="E2">
        <f t="shared" ref="E2:E57" si="0">B2*C2*D2</f>
        <v>155437.2712</v>
      </c>
      <c r="F2" s="4">
        <v>155437.2712</v>
      </c>
    </row>
    <row r="3" spans="1:6">
      <c r="A3" s="2">
        <v>43862</v>
      </c>
      <c r="B3">
        <v>120419.086051709</v>
      </c>
      <c r="C3">
        <v>0.944001866930548</v>
      </c>
      <c r="D3">
        <v>0.954827287360095</v>
      </c>
      <c r="E3">
        <f t="shared" si="0"/>
        <v>108540.795900001</v>
      </c>
      <c r="F3" s="4">
        <v>108540.7959</v>
      </c>
    </row>
    <row r="4" spans="1:6">
      <c r="A4" s="2">
        <v>43891</v>
      </c>
      <c r="B4">
        <v>124180.54729961</v>
      </c>
      <c r="C4">
        <v>0.756836053660735</v>
      </c>
      <c r="D4">
        <v>0.819278722256288</v>
      </c>
      <c r="E4">
        <f t="shared" si="0"/>
        <v>76999.3498000001</v>
      </c>
      <c r="F4" s="4">
        <v>76999.3498</v>
      </c>
    </row>
    <row r="5" spans="1:6">
      <c r="A5" s="2">
        <v>43922</v>
      </c>
      <c r="B5">
        <v>128352.87754965</v>
      </c>
      <c r="C5">
        <v>0.851819861426202</v>
      </c>
      <c r="D5">
        <v>0.995386210741581</v>
      </c>
      <c r="E5">
        <f t="shared" si="0"/>
        <v>108829.0885</v>
      </c>
      <c r="F5" s="4">
        <v>108829.0885</v>
      </c>
    </row>
    <row r="6" spans="1:6">
      <c r="A6" s="2">
        <v>43952</v>
      </c>
      <c r="B6">
        <v>132438.827571107</v>
      </c>
      <c r="C6">
        <v>0.871885166023291</v>
      </c>
      <c r="D6">
        <v>1.02521060882402</v>
      </c>
      <c r="E6">
        <f t="shared" si="0"/>
        <v>118382.5547</v>
      </c>
      <c r="F6" s="4">
        <v>118382.5547</v>
      </c>
    </row>
    <row r="7" spans="1:6">
      <c r="A7" s="2">
        <v>43983</v>
      </c>
      <c r="B7">
        <v>136308.827807101</v>
      </c>
      <c r="C7">
        <v>1.05282601335484</v>
      </c>
      <c r="D7">
        <v>1.03682530271467</v>
      </c>
      <c r="E7">
        <f t="shared" si="0"/>
        <v>148794.259800001</v>
      </c>
      <c r="F7" s="4">
        <v>148794.2598</v>
      </c>
    </row>
    <row r="8" spans="1:6">
      <c r="A8" s="2">
        <v>44013</v>
      </c>
      <c r="B8">
        <v>139814.065847135</v>
      </c>
      <c r="C8">
        <v>1.3426644913602</v>
      </c>
      <c r="D8">
        <v>0.895531473288487</v>
      </c>
      <c r="E8">
        <f t="shared" si="0"/>
        <v>168112.1965</v>
      </c>
      <c r="F8" s="4">
        <v>168112.1965</v>
      </c>
    </row>
    <row r="9" spans="1:6">
      <c r="A9" s="2">
        <v>44044</v>
      </c>
      <c r="B9">
        <v>143103.742301953</v>
      </c>
      <c r="C9">
        <v>1.31903574545698</v>
      </c>
      <c r="D9">
        <v>0.97259522811269</v>
      </c>
      <c r="E9">
        <f t="shared" si="0"/>
        <v>183586.0554</v>
      </c>
      <c r="F9" s="4">
        <v>183586.0554</v>
      </c>
    </row>
    <row r="10" spans="1:6">
      <c r="A10" s="2">
        <v>44075</v>
      </c>
      <c r="B10">
        <v>147032.790329632</v>
      </c>
      <c r="C10">
        <v>1.02794476421024</v>
      </c>
      <c r="D10">
        <v>1.21867226600162</v>
      </c>
      <c r="E10">
        <f t="shared" si="0"/>
        <v>184192.060300001</v>
      </c>
      <c r="F10" s="4">
        <v>184192.0603</v>
      </c>
    </row>
    <row r="11" spans="1:6">
      <c r="A11" s="2">
        <v>44105</v>
      </c>
      <c r="B11">
        <v>151600.343459899</v>
      </c>
      <c r="C11">
        <v>0.892818809755982</v>
      </c>
      <c r="D11">
        <v>1.00895918298148</v>
      </c>
      <c r="E11">
        <f t="shared" si="0"/>
        <v>136564.2783</v>
      </c>
      <c r="F11" s="4">
        <v>136564.2783</v>
      </c>
    </row>
    <row r="12" spans="1:6">
      <c r="A12" s="2">
        <v>44136</v>
      </c>
      <c r="B12">
        <v>156174.520808897</v>
      </c>
      <c r="C12">
        <v>0.872084131324629</v>
      </c>
      <c r="D12">
        <v>0.994772879467855</v>
      </c>
      <c r="E12">
        <f t="shared" si="0"/>
        <v>135485.4015</v>
      </c>
      <c r="F12" s="4">
        <v>135485.4015</v>
      </c>
    </row>
    <row r="13" spans="1:6">
      <c r="A13" s="2">
        <v>44166</v>
      </c>
      <c r="B13">
        <v>159894.278984333</v>
      </c>
      <c r="C13">
        <v>0.979841057276051</v>
      </c>
      <c r="D13">
        <v>0.977832536783055</v>
      </c>
      <c r="E13">
        <f t="shared" si="0"/>
        <v>153197.9812</v>
      </c>
      <c r="F13" s="4">
        <v>153197.9812</v>
      </c>
    </row>
    <row r="14" spans="1:6">
      <c r="A14" s="2">
        <v>44197</v>
      </c>
      <c r="B14">
        <v>161421.657246165</v>
      </c>
      <c r="C14">
        <v>1.0882420392203</v>
      </c>
      <c r="D14">
        <v>1.03856861240928</v>
      </c>
      <c r="E14">
        <f t="shared" si="0"/>
        <v>182441.0209</v>
      </c>
      <c r="F14" s="5">
        <v>182441.0209</v>
      </c>
    </row>
    <row r="15" spans="1:6">
      <c r="A15" s="2">
        <v>44228</v>
      </c>
      <c r="B15">
        <v>160901.993899276</v>
      </c>
      <c r="C15">
        <v>0.944001866930548</v>
      </c>
      <c r="D15">
        <v>1.05147027068005</v>
      </c>
      <c r="E15">
        <f t="shared" si="0"/>
        <v>159709.693799999</v>
      </c>
      <c r="F15" s="5">
        <v>159709.6938</v>
      </c>
    </row>
    <row r="16" spans="1:6">
      <c r="A16" s="2">
        <v>44256</v>
      </c>
      <c r="B16">
        <v>159962.236447057</v>
      </c>
      <c r="C16">
        <v>0.756836053660736</v>
      </c>
      <c r="D16">
        <v>0.937005025077956</v>
      </c>
      <c r="E16">
        <f t="shared" si="0"/>
        <v>113438.6893</v>
      </c>
      <c r="F16" s="5">
        <v>113438.6893</v>
      </c>
    </row>
    <row r="17" spans="1:6">
      <c r="A17" s="2">
        <v>44287</v>
      </c>
      <c r="B17">
        <v>159729.545324707</v>
      </c>
      <c r="C17">
        <v>0.851819861426202</v>
      </c>
      <c r="D17">
        <v>1.02731059466551</v>
      </c>
      <c r="E17">
        <f t="shared" si="0"/>
        <v>139776.7005</v>
      </c>
      <c r="F17" s="5">
        <v>139776.7005</v>
      </c>
    </row>
    <row r="18" spans="1:6">
      <c r="A18" s="2">
        <v>44317</v>
      </c>
      <c r="B18">
        <v>161512.677591355</v>
      </c>
      <c r="C18">
        <v>0.871885166023291</v>
      </c>
      <c r="D18">
        <v>0.967608414494678</v>
      </c>
      <c r="E18">
        <f t="shared" si="0"/>
        <v>136259.1082</v>
      </c>
      <c r="F18" s="5">
        <v>136259.1082</v>
      </c>
    </row>
    <row r="19" spans="1:6">
      <c r="A19" s="2">
        <v>44348</v>
      </c>
      <c r="B19">
        <v>165858.077090151</v>
      </c>
      <c r="C19">
        <v>1.05282601335484</v>
      </c>
      <c r="D19">
        <v>0.933501844792811</v>
      </c>
      <c r="E19">
        <f t="shared" si="0"/>
        <v>163007.8103</v>
      </c>
      <c r="F19" s="5">
        <v>163007.8103</v>
      </c>
    </row>
    <row r="20" spans="1:6">
      <c r="A20" s="2">
        <v>44378</v>
      </c>
      <c r="B20">
        <v>171933.097374893</v>
      </c>
      <c r="C20">
        <v>1.3426644913602</v>
      </c>
      <c r="D20">
        <v>1.05903096769913</v>
      </c>
      <c r="E20">
        <f t="shared" si="0"/>
        <v>244475.673000001</v>
      </c>
      <c r="F20" s="5">
        <v>244475.673</v>
      </c>
    </row>
    <row r="21" spans="1:6">
      <c r="A21" s="2">
        <v>44409</v>
      </c>
      <c r="B21">
        <v>177797.093938836</v>
      </c>
      <c r="C21">
        <v>1.31903574545698</v>
      </c>
      <c r="D21">
        <v>1.01798892700885</v>
      </c>
      <c r="E21">
        <f t="shared" si="0"/>
        <v>238739.498500001</v>
      </c>
      <c r="F21" s="5">
        <v>238739.4985</v>
      </c>
    </row>
    <row r="22" spans="1:6">
      <c r="A22" s="2">
        <v>44440</v>
      </c>
      <c r="B22">
        <v>181139.760837677</v>
      </c>
      <c r="C22">
        <v>1.02794476421024</v>
      </c>
      <c r="D22">
        <v>0.967411462612898</v>
      </c>
      <c r="E22">
        <f t="shared" si="0"/>
        <v>180133.628700001</v>
      </c>
      <c r="F22" s="5">
        <v>180133.6287</v>
      </c>
    </row>
    <row r="23" spans="1:6">
      <c r="A23" s="2">
        <v>44470</v>
      </c>
      <c r="B23">
        <v>181590.406935548</v>
      </c>
      <c r="C23">
        <v>0.892818809755982</v>
      </c>
      <c r="D23">
        <v>1.07094819329311</v>
      </c>
      <c r="E23">
        <f t="shared" si="0"/>
        <v>173629.9722</v>
      </c>
      <c r="F23" s="5">
        <v>173629.9722</v>
      </c>
    </row>
    <row r="24" spans="1:6">
      <c r="A24" s="2">
        <v>44501</v>
      </c>
      <c r="B24">
        <v>180026.849289824</v>
      </c>
      <c r="C24">
        <v>0.872084131324629</v>
      </c>
      <c r="D24">
        <v>0.984695165985475</v>
      </c>
      <c r="E24">
        <f t="shared" si="0"/>
        <v>154595.7216</v>
      </c>
      <c r="F24" s="5">
        <v>154595.7216</v>
      </c>
    </row>
    <row r="25" spans="1:6">
      <c r="A25" s="2">
        <v>44531</v>
      </c>
      <c r="B25">
        <v>177283.84111248</v>
      </c>
      <c r="C25">
        <v>0.979841057276051</v>
      </c>
      <c r="D25">
        <v>0.973940764663703</v>
      </c>
      <c r="E25">
        <f t="shared" si="0"/>
        <v>169183.236900001</v>
      </c>
      <c r="F25" s="5">
        <v>169183.2369</v>
      </c>
    </row>
    <row r="26" spans="1:6">
      <c r="A26" s="2">
        <v>44562</v>
      </c>
      <c r="B26">
        <v>175166.113299923</v>
      </c>
      <c r="C26">
        <v>1.0882420392203</v>
      </c>
      <c r="D26">
        <v>0.980067528148898</v>
      </c>
      <c r="E26">
        <f t="shared" si="0"/>
        <v>186823.5382</v>
      </c>
      <c r="F26" s="5">
        <v>186823.5382</v>
      </c>
    </row>
    <row r="27" spans="1:6">
      <c r="A27" s="2">
        <v>44593</v>
      </c>
      <c r="B27">
        <v>174387.102839687</v>
      </c>
      <c r="C27">
        <v>0.944001866930548</v>
      </c>
      <c r="D27">
        <v>0.984548121744295</v>
      </c>
      <c r="E27">
        <f t="shared" si="0"/>
        <v>162078.0354</v>
      </c>
      <c r="F27" s="5">
        <v>162078.0354</v>
      </c>
    </row>
    <row r="28" spans="1:6">
      <c r="A28" s="2">
        <v>44621</v>
      </c>
      <c r="B28">
        <v>174559.130110219</v>
      </c>
      <c r="C28">
        <v>0.756836053660736</v>
      </c>
      <c r="D28">
        <v>1.05063205441038</v>
      </c>
      <c r="E28">
        <f t="shared" si="0"/>
        <v>138801.777700001</v>
      </c>
      <c r="F28" s="5">
        <v>138801.7777</v>
      </c>
    </row>
    <row r="29" spans="1:6">
      <c r="A29" s="2">
        <v>44652</v>
      </c>
      <c r="B29">
        <v>175323.878069118</v>
      </c>
      <c r="C29">
        <v>0.851819861426202</v>
      </c>
      <c r="D29">
        <v>0.97045179358242</v>
      </c>
      <c r="E29">
        <f t="shared" si="0"/>
        <v>144931.5035</v>
      </c>
      <c r="F29" s="5">
        <v>144931.5035</v>
      </c>
    </row>
    <row r="30" spans="1:6">
      <c r="A30" s="2">
        <v>44682</v>
      </c>
      <c r="B30">
        <v>175444.843616453</v>
      </c>
      <c r="C30">
        <v>0.871885166023291</v>
      </c>
      <c r="D30">
        <v>0.989279168101403</v>
      </c>
      <c r="E30">
        <f t="shared" si="0"/>
        <v>151327.815</v>
      </c>
      <c r="F30" s="5">
        <v>151327.815</v>
      </c>
    </row>
    <row r="31" spans="1:6">
      <c r="A31" s="2">
        <v>44713</v>
      </c>
      <c r="B31">
        <v>173852.42854985</v>
      </c>
      <c r="C31">
        <v>1.05282601335484</v>
      </c>
      <c r="D31">
        <v>1.0393512177954</v>
      </c>
      <c r="E31">
        <f t="shared" si="0"/>
        <v>190239.062899999</v>
      </c>
      <c r="F31" s="5">
        <v>190239.0629</v>
      </c>
    </row>
    <row r="32" spans="1:6">
      <c r="A32" s="2">
        <v>44743</v>
      </c>
      <c r="B32">
        <v>171243.491171493</v>
      </c>
      <c r="C32">
        <v>1.3426644913602</v>
      </c>
      <c r="D32">
        <v>0.989552162584459</v>
      </c>
      <c r="E32">
        <f t="shared" si="0"/>
        <v>227520.361499999</v>
      </c>
      <c r="F32" s="5">
        <v>227520.3615</v>
      </c>
    </row>
    <row r="33" spans="1:6">
      <c r="A33" s="2">
        <v>44774</v>
      </c>
      <c r="B33">
        <v>168222.681503561</v>
      </c>
      <c r="C33">
        <v>1.31903574545698</v>
      </c>
      <c r="D33">
        <v>1.08268325363872</v>
      </c>
      <c r="E33">
        <f t="shared" si="0"/>
        <v>240238.4603</v>
      </c>
      <c r="F33" s="5">
        <v>240238.4603</v>
      </c>
    </row>
    <row r="34" spans="1:6">
      <c r="A34" s="2">
        <v>44805</v>
      </c>
      <c r="B34">
        <v>165547.025421344</v>
      </c>
      <c r="C34">
        <v>1.02794476421024</v>
      </c>
      <c r="D34">
        <v>0.779464723876764</v>
      </c>
      <c r="E34">
        <f t="shared" si="0"/>
        <v>132644.0048</v>
      </c>
      <c r="F34" s="5">
        <v>132644.0048</v>
      </c>
    </row>
    <row r="35" spans="1:6">
      <c r="A35" s="2">
        <v>44835</v>
      </c>
      <c r="B35">
        <v>164127.619160281</v>
      </c>
      <c r="C35">
        <v>0.892818809755982</v>
      </c>
      <c r="D35">
        <v>0.958320025902749</v>
      </c>
      <c r="E35">
        <f t="shared" si="0"/>
        <v>140428.5995</v>
      </c>
      <c r="F35" s="5">
        <v>140428.5995</v>
      </c>
    </row>
    <row r="36" spans="1:6">
      <c r="A36" s="2">
        <v>44866</v>
      </c>
      <c r="B36">
        <v>164611.911596496</v>
      </c>
      <c r="C36">
        <v>0.872084131324629</v>
      </c>
      <c r="D36">
        <v>1.02562981015549</v>
      </c>
      <c r="E36">
        <f t="shared" si="0"/>
        <v>147234.734499999</v>
      </c>
      <c r="F36" s="5">
        <v>147234.7345</v>
      </c>
    </row>
    <row r="37" spans="1:6">
      <c r="A37" s="2">
        <v>44896</v>
      </c>
      <c r="B37">
        <v>167672.886275061</v>
      </c>
      <c r="C37">
        <v>0.979841057276051</v>
      </c>
      <c r="D37">
        <v>1.00906864228826</v>
      </c>
      <c r="E37">
        <f t="shared" si="0"/>
        <v>165782.690599999</v>
      </c>
      <c r="F37" s="5">
        <v>165782.6906</v>
      </c>
    </row>
    <row r="38" spans="1:6">
      <c r="A38" s="2">
        <v>44927</v>
      </c>
      <c r="B38">
        <v>172706.77150127</v>
      </c>
      <c r="C38">
        <v>1.0882420392203</v>
      </c>
      <c r="D38">
        <v>0.888612052794672</v>
      </c>
      <c r="E38">
        <f t="shared" si="0"/>
        <v>167011.7644</v>
      </c>
      <c r="F38" s="5">
        <v>167011.7644</v>
      </c>
    </row>
    <row r="39" spans="1:6">
      <c r="A39" s="2">
        <v>44958</v>
      </c>
      <c r="B39">
        <v>178354.424202397</v>
      </c>
      <c r="C39">
        <v>0.944001866930548</v>
      </c>
      <c r="D39">
        <v>1.00669309772021</v>
      </c>
      <c r="E39">
        <f t="shared" si="0"/>
        <v>169493.805599999</v>
      </c>
      <c r="F39" s="5">
        <v>169493.8056</v>
      </c>
    </row>
    <row r="40" spans="1:6">
      <c r="A40" s="2">
        <v>44986</v>
      </c>
      <c r="B40">
        <v>183161.826988319</v>
      </c>
      <c r="C40">
        <v>0.756836053660736</v>
      </c>
      <c r="D40">
        <v>1.02019402121192</v>
      </c>
      <c r="E40">
        <f t="shared" si="0"/>
        <v>141422.8397</v>
      </c>
      <c r="F40" s="5">
        <v>141422.8397</v>
      </c>
    </row>
    <row r="41" spans="1:6">
      <c r="A41" s="2">
        <v>45017</v>
      </c>
      <c r="B41">
        <v>186294.092035766</v>
      </c>
      <c r="C41">
        <v>0.851819861426202</v>
      </c>
      <c r="D41">
        <v>1.00760054054997</v>
      </c>
      <c r="E41">
        <f t="shared" si="0"/>
        <v>159895.129899999</v>
      </c>
      <c r="F41" s="5">
        <v>159895.1299</v>
      </c>
    </row>
    <row r="42" spans="1:6">
      <c r="A42" s="2">
        <v>45047</v>
      </c>
      <c r="B42">
        <v>187503.638902327</v>
      </c>
      <c r="C42">
        <v>0.871885166023291</v>
      </c>
      <c r="D42">
        <v>1.02139179749561</v>
      </c>
      <c r="E42">
        <f t="shared" si="0"/>
        <v>166978.8075</v>
      </c>
      <c r="F42" s="5">
        <v>166978.8075</v>
      </c>
    </row>
    <row r="43" spans="1:6">
      <c r="A43" s="2">
        <v>45078</v>
      </c>
      <c r="B43">
        <v>186803.379912163</v>
      </c>
      <c r="C43">
        <v>1.05282601335484</v>
      </c>
      <c r="D43">
        <v>0.994768513103623</v>
      </c>
      <c r="E43">
        <f t="shared" si="0"/>
        <v>195642.5736</v>
      </c>
      <c r="F43" s="5">
        <v>195642.5736</v>
      </c>
    </row>
    <row r="44" spans="1:6">
      <c r="A44" s="2">
        <v>45108</v>
      </c>
      <c r="B44">
        <v>184949.336889245</v>
      </c>
      <c r="C44">
        <v>1.3426644913602</v>
      </c>
      <c r="D44">
        <v>0.982464310614599</v>
      </c>
      <c r="E44">
        <f t="shared" si="0"/>
        <v>243970.3589</v>
      </c>
      <c r="F44" s="5">
        <v>243970.3589</v>
      </c>
    </row>
    <row r="45" spans="1:6">
      <c r="A45" s="2">
        <v>45139</v>
      </c>
      <c r="B45">
        <v>183531.506670156</v>
      </c>
      <c r="C45">
        <v>1.31903574545698</v>
      </c>
      <c r="D45">
        <v>0.987059366080035</v>
      </c>
      <c r="E45">
        <f t="shared" si="0"/>
        <v>238951.889300001</v>
      </c>
      <c r="F45" s="5">
        <v>238951.8893</v>
      </c>
    </row>
    <row r="46" spans="1:6">
      <c r="A46" s="2">
        <v>45170</v>
      </c>
      <c r="B46">
        <v>183403.393587941</v>
      </c>
      <c r="C46">
        <v>1.02794476421024</v>
      </c>
      <c r="D46">
        <v>1.03245364247224</v>
      </c>
      <c r="E46">
        <f t="shared" si="0"/>
        <v>194646.996600001</v>
      </c>
      <c r="F46" s="5">
        <v>194646.9966</v>
      </c>
    </row>
    <row r="47" spans="1:6">
      <c r="A47" s="2">
        <v>45200</v>
      </c>
      <c r="B47">
        <v>184243.437552436</v>
      </c>
      <c r="C47">
        <v>0.892818809755982</v>
      </c>
      <c r="D47">
        <v>0.957909048595494</v>
      </c>
      <c r="E47">
        <f t="shared" si="0"/>
        <v>157572.2132</v>
      </c>
      <c r="F47" s="5">
        <v>157572.2132</v>
      </c>
    </row>
    <row r="48" spans="1:6">
      <c r="A48" s="2">
        <v>45231</v>
      </c>
      <c r="B48">
        <v>185601.394693669</v>
      </c>
      <c r="C48">
        <v>0.872084131324629</v>
      </c>
      <c r="D48">
        <v>0.993606543522422</v>
      </c>
      <c r="E48">
        <f t="shared" si="0"/>
        <v>160825.186</v>
      </c>
      <c r="F48" s="5">
        <v>160825.186</v>
      </c>
    </row>
    <row r="49" spans="1:6">
      <c r="A49" s="2">
        <v>45261</v>
      </c>
      <c r="B49">
        <v>187529.489224154</v>
      </c>
      <c r="C49">
        <v>0.979841057276051</v>
      </c>
      <c r="D49">
        <v>1.03996099729588</v>
      </c>
      <c r="E49">
        <f t="shared" si="0"/>
        <v>191091.89</v>
      </c>
      <c r="F49" s="5">
        <v>191091.89</v>
      </c>
    </row>
    <row r="50" spans="1:10">
      <c r="A50" s="3" t="s">
        <v>7</v>
      </c>
      <c r="B50" s="6">
        <v>189583.990048467</v>
      </c>
      <c r="C50">
        <v>1.0882420392203</v>
      </c>
      <c r="D50" s="6">
        <v>1.00766643330394</v>
      </c>
      <c r="E50">
        <f t="shared" si="0"/>
        <v>207894.954842198</v>
      </c>
      <c r="F50" s="5">
        <v>200678.3641</v>
      </c>
      <c r="H50" s="7">
        <f t="shared" ref="H50:H57" si="1">ABS((E50-F50))/F50</f>
        <v>0.0359609805200605</v>
      </c>
      <c r="J50" t="s">
        <v>31</v>
      </c>
    </row>
    <row r="51" spans="1:8">
      <c r="A51" s="3" t="s">
        <v>8</v>
      </c>
      <c r="B51" s="6">
        <v>193067.509579293</v>
      </c>
      <c r="C51">
        <v>0.944001866930548</v>
      </c>
      <c r="D51" s="6">
        <v>1.0080843601694</v>
      </c>
      <c r="E51">
        <v>152510.895038963</v>
      </c>
      <c r="F51" s="5">
        <v>152027.6848</v>
      </c>
      <c r="H51" s="11">
        <f t="shared" si="1"/>
        <v>0.0031784358197568</v>
      </c>
    </row>
    <row r="52" spans="1:8">
      <c r="A52" s="3" t="s">
        <v>9</v>
      </c>
      <c r="B52" s="6">
        <v>196901.628521288</v>
      </c>
      <c r="C52">
        <v>0.756836053660736</v>
      </c>
      <c r="D52" s="6">
        <v>1.00484272888304</v>
      </c>
      <c r="E52">
        <v>173070.954251344</v>
      </c>
      <c r="F52" s="5">
        <v>170586.4219</v>
      </c>
      <c r="H52" s="11">
        <f t="shared" si="1"/>
        <v>0.0145646548164336</v>
      </c>
    </row>
    <row r="53" spans="1:8">
      <c r="A53" s="3" t="s">
        <v>10</v>
      </c>
      <c r="B53" s="6">
        <v>199421.268002775</v>
      </c>
      <c r="C53">
        <v>0.851819861426202</v>
      </c>
      <c r="D53" s="6">
        <v>0.989441670048376</v>
      </c>
      <c r="E53">
        <f t="shared" si="0"/>
        <v>168077.442841338</v>
      </c>
      <c r="F53" s="5">
        <v>162294.7271</v>
      </c>
      <c r="H53" s="7">
        <f t="shared" si="1"/>
        <v>0.0356309526789171</v>
      </c>
    </row>
    <row r="54" spans="1:8">
      <c r="A54" s="3" t="s">
        <v>11</v>
      </c>
      <c r="B54" s="6">
        <v>200239.274791387</v>
      </c>
      <c r="C54">
        <v>0.871885166023291</v>
      </c>
      <c r="D54" s="6">
        <v>1.01008157631991</v>
      </c>
      <c r="E54">
        <f t="shared" si="0"/>
        <v>176345.75193444</v>
      </c>
      <c r="F54" s="5">
        <v>190320.9286</v>
      </c>
      <c r="H54" s="11">
        <f t="shared" si="1"/>
        <v>0.0734295317302294</v>
      </c>
    </row>
    <row r="55" spans="1:8">
      <c r="A55" s="3" t="s">
        <v>12</v>
      </c>
      <c r="B55" s="6">
        <v>199701.525216072</v>
      </c>
      <c r="C55">
        <v>1.05282601335484</v>
      </c>
      <c r="D55" s="6">
        <v>1.0081662363365</v>
      </c>
      <c r="E55">
        <f t="shared" si="0"/>
        <v>211967.919688796</v>
      </c>
      <c r="F55" s="5">
        <v>202813.7474</v>
      </c>
      <c r="H55" s="7">
        <f t="shared" si="1"/>
        <v>0.0451358569433733</v>
      </c>
    </row>
    <row r="56" spans="1:8">
      <c r="A56" s="3" t="s">
        <v>13</v>
      </c>
      <c r="B56" s="6">
        <v>199341.765410561</v>
      </c>
      <c r="C56">
        <v>1.3426644913602</v>
      </c>
      <c r="D56" s="6">
        <v>0.901431036209421</v>
      </c>
      <c r="E56">
        <f t="shared" si="0"/>
        <v>241267.214623551</v>
      </c>
      <c r="F56" s="5">
        <v>240454.3384</v>
      </c>
      <c r="H56" s="7">
        <f t="shared" si="1"/>
        <v>0.00338058455904919</v>
      </c>
    </row>
    <row r="57" spans="1:8">
      <c r="A57" s="3" t="s">
        <v>14</v>
      </c>
      <c r="B57" s="6">
        <v>198974.202056148</v>
      </c>
      <c r="C57">
        <v>1.31903574545698</v>
      </c>
      <c r="D57" s="6">
        <v>1.01163409897745</v>
      </c>
      <c r="E57">
        <f t="shared" si="0"/>
        <v>265507.501737019</v>
      </c>
      <c r="F57" s="5">
        <v>280325.3872</v>
      </c>
      <c r="H57" s="11">
        <f t="shared" si="1"/>
        <v>0.0528595915303581</v>
      </c>
    </row>
    <row r="60" spans="8:8">
      <c r="H60">
        <f>SUM(H50:H57)/8</f>
        <v>0.0330175735747722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topLeftCell="A37" workbookViewId="0">
      <selection activeCell="H50" sqref="H50:H60"/>
    </sheetView>
  </sheetViews>
  <sheetFormatPr defaultColWidth="8.88888888888889" defaultRowHeight="13.8" outlineLevelCol="7"/>
  <cols>
    <col min="1" max="1" width="11.8888888888889" customWidth="1"/>
    <col min="2" max="3" width="14.1111111111111" customWidth="1"/>
    <col min="4" max="6" width="11.8888888888889" customWidth="1"/>
  </cols>
  <sheetData>
    <row r="1" spans="1:6">
      <c r="A1" s="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 s="2">
        <v>43831</v>
      </c>
      <c r="B2">
        <v>2501.41854376176</v>
      </c>
      <c r="C2">
        <v>0.833983019608575</v>
      </c>
      <c r="D2">
        <v>1.02224203382145</v>
      </c>
      <c r="E2">
        <f t="shared" ref="E2:E57" si="0">B2*C2*D2</f>
        <v>2132.54059999999</v>
      </c>
      <c r="F2" s="4">
        <v>2132.5406</v>
      </c>
    </row>
    <row r="3" spans="1:6">
      <c r="A3" s="2">
        <v>43862</v>
      </c>
      <c r="B3">
        <v>2548.19546165827</v>
      </c>
      <c r="C3">
        <v>0.797822894406317</v>
      </c>
      <c r="D3">
        <v>0.974085364571062</v>
      </c>
      <c r="E3">
        <f t="shared" si="0"/>
        <v>1980.324</v>
      </c>
      <c r="F3" s="4">
        <v>1980.324</v>
      </c>
    </row>
    <row r="4" spans="1:6">
      <c r="A4" s="2">
        <v>43891</v>
      </c>
      <c r="B4">
        <v>2615.43310092193</v>
      </c>
      <c r="C4">
        <v>0.801713606784147</v>
      </c>
      <c r="D4">
        <v>0.965039624617594</v>
      </c>
      <c r="E4">
        <f t="shared" si="0"/>
        <v>2023.5224</v>
      </c>
      <c r="F4" s="4">
        <v>2023.5224</v>
      </c>
    </row>
    <row r="5" spans="1:6">
      <c r="A5" s="2">
        <v>43922</v>
      </c>
      <c r="B5">
        <v>2693.96521673793</v>
      </c>
      <c r="C5">
        <v>0.948435636763908</v>
      </c>
      <c r="D5">
        <v>1.01836039851158</v>
      </c>
      <c r="E5">
        <f t="shared" si="0"/>
        <v>2601.9644</v>
      </c>
      <c r="F5" s="4">
        <v>2601.9644</v>
      </c>
    </row>
    <row r="6" spans="1:6">
      <c r="A6" s="2">
        <v>43952</v>
      </c>
      <c r="B6">
        <v>2778.91117842327</v>
      </c>
      <c r="C6">
        <v>1.09696879029733</v>
      </c>
      <c r="D6">
        <v>1.01200325427284</v>
      </c>
      <c r="E6">
        <f t="shared" si="0"/>
        <v>3084.96930000001</v>
      </c>
      <c r="F6" s="4">
        <v>3084.9693</v>
      </c>
    </row>
    <row r="7" spans="1:6">
      <c r="A7" s="2">
        <v>43983</v>
      </c>
      <c r="B7">
        <v>2863.3728728069</v>
      </c>
      <c r="C7">
        <v>1.22392959656526</v>
      </c>
      <c r="D7">
        <v>1.2323248892847</v>
      </c>
      <c r="E7">
        <f t="shared" si="0"/>
        <v>4318.76489999999</v>
      </c>
      <c r="F7" s="4">
        <v>4318.7649</v>
      </c>
    </row>
    <row r="8" spans="1:6">
      <c r="A8" s="2">
        <v>44013</v>
      </c>
      <c r="B8">
        <v>2940.14557949728</v>
      </c>
      <c r="C8">
        <v>1.26657377018189</v>
      </c>
      <c r="D8">
        <v>0.928780292501405</v>
      </c>
      <c r="E8">
        <f t="shared" si="0"/>
        <v>3458.6954</v>
      </c>
      <c r="F8" s="4">
        <v>3458.6954</v>
      </c>
    </row>
    <row r="9" spans="1:6">
      <c r="A9" s="2">
        <v>44044</v>
      </c>
      <c r="B9">
        <v>3008.42707910656</v>
      </c>
      <c r="C9">
        <v>1.31799375520848</v>
      </c>
      <c r="D9">
        <v>0.856368663588095</v>
      </c>
      <c r="E9">
        <f t="shared" si="0"/>
        <v>3395.57719999999</v>
      </c>
      <c r="F9" s="4">
        <v>3395.5772</v>
      </c>
    </row>
    <row r="10" spans="1:6">
      <c r="A10" s="2">
        <v>44075</v>
      </c>
      <c r="B10">
        <v>3076.53710917906</v>
      </c>
      <c r="C10">
        <v>1.10282678100481</v>
      </c>
      <c r="D10">
        <v>1.20988508452609</v>
      </c>
      <c r="E10">
        <f t="shared" si="0"/>
        <v>4105.00400000001</v>
      </c>
      <c r="F10" s="4">
        <v>4105.004</v>
      </c>
    </row>
    <row r="11" spans="1:6">
      <c r="A11" s="2">
        <v>44105</v>
      </c>
      <c r="B11">
        <v>3153.74901235545</v>
      </c>
      <c r="C11">
        <v>0.931723868554126</v>
      </c>
      <c r="D11">
        <v>0.983284732527603</v>
      </c>
      <c r="E11">
        <f t="shared" si="0"/>
        <v>2889.3067</v>
      </c>
      <c r="F11" s="4">
        <v>2889.3067</v>
      </c>
    </row>
    <row r="12" spans="1:6">
      <c r="A12" s="2">
        <v>44136</v>
      </c>
      <c r="B12">
        <v>3242.14841957543</v>
      </c>
      <c r="C12">
        <v>0.855258224543472</v>
      </c>
      <c r="D12">
        <v>1.00090126665562</v>
      </c>
      <c r="E12">
        <f t="shared" si="0"/>
        <v>2775.3732</v>
      </c>
      <c r="F12" s="4">
        <v>2775.3732</v>
      </c>
    </row>
    <row r="13" spans="1:6">
      <c r="A13" s="2">
        <v>44166</v>
      </c>
      <c r="B13">
        <v>3337.7540975765</v>
      </c>
      <c r="C13">
        <v>0.822770056081683</v>
      </c>
      <c r="D13">
        <v>0.984481879680524</v>
      </c>
      <c r="E13">
        <f t="shared" si="0"/>
        <v>2703.5882</v>
      </c>
      <c r="F13" s="4">
        <v>2703.5882</v>
      </c>
    </row>
    <row r="14" spans="1:6">
      <c r="A14" s="2">
        <v>44197</v>
      </c>
      <c r="B14">
        <v>3440.38813556469</v>
      </c>
      <c r="C14">
        <v>0.833983019608575</v>
      </c>
      <c r="D14">
        <v>1.01613540571504</v>
      </c>
      <c r="E14">
        <f t="shared" si="0"/>
        <v>2915.52139999999</v>
      </c>
      <c r="F14" s="5">
        <v>2915.5214</v>
      </c>
    </row>
    <row r="15" spans="1:6">
      <c r="A15" s="2">
        <v>44228</v>
      </c>
      <c r="B15">
        <v>3538.00215256785</v>
      </c>
      <c r="C15">
        <v>0.797822894406317</v>
      </c>
      <c r="D15">
        <v>1.00592506729364</v>
      </c>
      <c r="E15">
        <f t="shared" si="0"/>
        <v>2839.42379999999</v>
      </c>
      <c r="F15" s="5">
        <v>2839.4238</v>
      </c>
    </row>
    <row r="16" spans="1:6">
      <c r="A16" s="2">
        <v>44256</v>
      </c>
      <c r="B16">
        <v>3619.96478455689</v>
      </c>
      <c r="C16">
        <v>0.801713606784147</v>
      </c>
      <c r="D16">
        <v>0.982867117437806</v>
      </c>
      <c r="E16">
        <f t="shared" si="0"/>
        <v>2852.4524</v>
      </c>
      <c r="F16" s="5">
        <v>2852.4524</v>
      </c>
    </row>
    <row r="17" spans="1:6">
      <c r="A17" s="2">
        <v>44287</v>
      </c>
      <c r="B17">
        <v>3680.17200477459</v>
      </c>
      <c r="C17">
        <v>0.948435636763908</v>
      </c>
      <c r="D17">
        <v>1.01508074334251</v>
      </c>
      <c r="E17">
        <f t="shared" si="0"/>
        <v>3543.0442</v>
      </c>
      <c r="F17" s="5">
        <v>3543.0442</v>
      </c>
    </row>
    <row r="18" spans="1:6">
      <c r="A18" s="2">
        <v>44317</v>
      </c>
      <c r="B18">
        <v>3726.88254805969</v>
      </c>
      <c r="C18">
        <v>1.09696879029733</v>
      </c>
      <c r="D18">
        <v>1.01404877997854</v>
      </c>
      <c r="E18">
        <f t="shared" si="0"/>
        <v>4145.70910000002</v>
      </c>
      <c r="F18" s="5">
        <v>4145.7091</v>
      </c>
    </row>
    <row r="19" spans="1:6">
      <c r="A19" s="2">
        <v>44348</v>
      </c>
      <c r="B19">
        <v>3772.76765565189</v>
      </c>
      <c r="C19">
        <v>1.22392959656526</v>
      </c>
      <c r="D19">
        <v>1.00485273640066</v>
      </c>
      <c r="E19">
        <f t="shared" si="0"/>
        <v>4640.01</v>
      </c>
      <c r="F19" s="5">
        <v>4640.01</v>
      </c>
    </row>
    <row r="20" spans="1:6">
      <c r="A20" s="2">
        <v>44378</v>
      </c>
      <c r="B20">
        <v>3822.10691822687</v>
      </c>
      <c r="C20">
        <v>1.26657377018189</v>
      </c>
      <c r="D20">
        <v>0.952579549608326</v>
      </c>
      <c r="E20">
        <f t="shared" si="0"/>
        <v>4611.41889999999</v>
      </c>
      <c r="F20" s="5">
        <v>4611.4189</v>
      </c>
    </row>
    <row r="21" spans="1:6">
      <c r="A21" s="2">
        <v>44409</v>
      </c>
      <c r="B21">
        <v>3877.80194955444</v>
      </c>
      <c r="C21">
        <v>1.31799375520848</v>
      </c>
      <c r="D21">
        <v>1.14462633475699</v>
      </c>
      <c r="E21">
        <f t="shared" si="0"/>
        <v>5850.09219999997</v>
      </c>
      <c r="F21" s="5">
        <v>5850.0922</v>
      </c>
    </row>
    <row r="22" spans="1:6">
      <c r="A22" s="2">
        <v>44440</v>
      </c>
      <c r="B22">
        <v>3929.7597588082</v>
      </c>
      <c r="C22">
        <v>1.10282678100481</v>
      </c>
      <c r="D22">
        <v>1.02194333445785</v>
      </c>
      <c r="E22">
        <f t="shared" si="0"/>
        <v>4428.94329999998</v>
      </c>
      <c r="F22" s="5">
        <v>4428.9433</v>
      </c>
    </row>
    <row r="23" spans="1:6">
      <c r="A23" s="2">
        <v>44470</v>
      </c>
      <c r="B23">
        <v>3978.7397126156</v>
      </c>
      <c r="C23">
        <v>0.931723868554126</v>
      </c>
      <c r="D23">
        <v>1.00511243578425</v>
      </c>
      <c r="E23">
        <f t="shared" si="0"/>
        <v>3726.03899999999</v>
      </c>
      <c r="F23" s="5">
        <v>3726.039</v>
      </c>
    </row>
    <row r="24" spans="1:6">
      <c r="A24" s="2">
        <v>44501</v>
      </c>
      <c r="B24">
        <v>4024.19747397913</v>
      </c>
      <c r="C24">
        <v>0.855258224543472</v>
      </c>
      <c r="D24">
        <v>0.995810858132026</v>
      </c>
      <c r="E24">
        <f t="shared" si="0"/>
        <v>3427.3101</v>
      </c>
      <c r="F24" s="5">
        <v>3427.3101</v>
      </c>
    </row>
    <row r="25" spans="1:6">
      <c r="A25" s="2">
        <v>44531</v>
      </c>
      <c r="B25">
        <v>4051.19717807641</v>
      </c>
      <c r="C25">
        <v>0.822770056081683</v>
      </c>
      <c r="D25">
        <v>0.9847950099909</v>
      </c>
      <c r="E25">
        <f t="shared" si="0"/>
        <v>3282.5224</v>
      </c>
      <c r="F25" s="5">
        <v>3282.5224</v>
      </c>
    </row>
    <row r="26" spans="1:6">
      <c r="A26" s="2">
        <v>44562</v>
      </c>
      <c r="B26">
        <v>4043.34503380848</v>
      </c>
      <c r="C26">
        <v>0.833983019608575</v>
      </c>
      <c r="D26">
        <v>1.01008733134528</v>
      </c>
      <c r="E26">
        <f t="shared" si="0"/>
        <v>3406.09639999999</v>
      </c>
      <c r="F26" s="5">
        <v>3406.0964</v>
      </c>
    </row>
    <row r="27" spans="1:6">
      <c r="A27" s="2">
        <v>44593</v>
      </c>
      <c r="B27">
        <v>4013.18672165066</v>
      </c>
      <c r="C27">
        <v>0.797822894406317</v>
      </c>
      <c r="D27">
        <v>0.994025806452624</v>
      </c>
      <c r="E27">
        <f t="shared" si="0"/>
        <v>3182.684</v>
      </c>
      <c r="F27" s="5">
        <v>3182.684</v>
      </c>
    </row>
    <row r="28" spans="1:6">
      <c r="A28" s="2">
        <v>44621</v>
      </c>
      <c r="B28">
        <v>3988.37628607725</v>
      </c>
      <c r="C28">
        <v>0.801713606784147</v>
      </c>
      <c r="D28">
        <v>1.05265841786611</v>
      </c>
      <c r="E28">
        <f t="shared" si="0"/>
        <v>3365.91269999999</v>
      </c>
      <c r="F28" s="5">
        <v>3365.9127</v>
      </c>
    </row>
    <row r="29" spans="1:6">
      <c r="A29" s="2">
        <v>44652</v>
      </c>
      <c r="B29">
        <v>3982.62320773687</v>
      </c>
      <c r="C29">
        <v>0.948435636763908</v>
      </c>
      <c r="D29">
        <v>0.984176612177524</v>
      </c>
      <c r="E29">
        <f t="shared" si="0"/>
        <v>3717.4927</v>
      </c>
      <c r="F29" s="5">
        <v>3717.4927</v>
      </c>
    </row>
    <row r="30" spans="1:6">
      <c r="A30" s="2">
        <v>44682</v>
      </c>
      <c r="B30">
        <v>4004.39915191104</v>
      </c>
      <c r="C30">
        <v>1.09696879029733</v>
      </c>
      <c r="D30">
        <v>0.939398288207826</v>
      </c>
      <c r="E30">
        <f t="shared" si="0"/>
        <v>4126.4957</v>
      </c>
      <c r="F30" s="5">
        <v>4126.4957</v>
      </c>
    </row>
    <row r="31" spans="1:6">
      <c r="A31" s="2">
        <v>44713</v>
      </c>
      <c r="B31">
        <v>4060.85725993511</v>
      </c>
      <c r="C31">
        <v>1.22392959656526</v>
      </c>
      <c r="D31">
        <v>0.971217035461593</v>
      </c>
      <c r="E31">
        <f t="shared" si="0"/>
        <v>4827.1462</v>
      </c>
      <c r="F31" s="5">
        <v>4827.1462</v>
      </c>
    </row>
    <row r="32" spans="1:6">
      <c r="A32" s="2">
        <v>44743</v>
      </c>
      <c r="B32">
        <v>4149.18376057684</v>
      </c>
      <c r="C32">
        <v>1.26657377018189</v>
      </c>
      <c r="D32">
        <v>1.06890607791045</v>
      </c>
      <c r="E32">
        <f t="shared" si="0"/>
        <v>5617.36579999997</v>
      </c>
      <c r="F32" s="5">
        <v>5617.3658</v>
      </c>
    </row>
    <row r="33" spans="1:6">
      <c r="A33" s="2">
        <v>44774</v>
      </c>
      <c r="B33">
        <v>4242.67071365205</v>
      </c>
      <c r="C33">
        <v>1.31799375520848</v>
      </c>
      <c r="D33">
        <v>1.17667318356393</v>
      </c>
      <c r="E33">
        <f t="shared" si="0"/>
        <v>6579.73699999998</v>
      </c>
      <c r="F33" s="5">
        <v>6579.737</v>
      </c>
    </row>
    <row r="34" spans="1:6">
      <c r="A34" s="2">
        <v>44805</v>
      </c>
      <c r="B34">
        <v>4320.23727908995</v>
      </c>
      <c r="C34">
        <v>1.10282678100481</v>
      </c>
      <c r="D34">
        <v>0.978655044588909</v>
      </c>
      <c r="E34">
        <f t="shared" si="0"/>
        <v>4662.7759</v>
      </c>
      <c r="F34" s="5">
        <v>4662.7759</v>
      </c>
    </row>
    <row r="35" spans="1:6">
      <c r="A35" s="2">
        <v>44835</v>
      </c>
      <c r="B35">
        <v>4380.08957814667</v>
      </c>
      <c r="C35">
        <v>0.931723868554126</v>
      </c>
      <c r="D35">
        <v>0.997573407536183</v>
      </c>
      <c r="E35">
        <f t="shared" si="0"/>
        <v>4071.131</v>
      </c>
      <c r="F35" s="5">
        <v>4071.131</v>
      </c>
    </row>
    <row r="36" spans="1:6">
      <c r="A36" s="2">
        <v>44866</v>
      </c>
      <c r="B36">
        <v>4428.37683075089</v>
      </c>
      <c r="C36">
        <v>0.855258224543472</v>
      </c>
      <c r="D36">
        <v>1.02384927867178</v>
      </c>
      <c r="E36">
        <f t="shared" si="0"/>
        <v>3877.73260000001</v>
      </c>
      <c r="F36" s="5">
        <v>3877.7326</v>
      </c>
    </row>
    <row r="37" spans="1:6">
      <c r="A37" s="2">
        <v>44896</v>
      </c>
      <c r="B37">
        <v>4500.17901949546</v>
      </c>
      <c r="C37">
        <v>0.822770056081683</v>
      </c>
      <c r="D37">
        <v>0.991727585891893</v>
      </c>
      <c r="E37">
        <f t="shared" si="0"/>
        <v>3671.983</v>
      </c>
      <c r="F37" s="5">
        <v>3671.983</v>
      </c>
    </row>
    <row r="38" spans="1:6">
      <c r="A38" s="2">
        <v>44927</v>
      </c>
      <c r="B38">
        <v>4616.03417146462</v>
      </c>
      <c r="C38">
        <v>0.833983019608575</v>
      </c>
      <c r="D38">
        <v>0.951303763041903</v>
      </c>
      <c r="E38">
        <f t="shared" si="0"/>
        <v>3662.2285</v>
      </c>
      <c r="F38" s="5">
        <v>3662.2285</v>
      </c>
    </row>
    <row r="39" spans="1:6">
      <c r="A39" s="2">
        <v>44958</v>
      </c>
      <c r="B39">
        <v>4770.20143389695</v>
      </c>
      <c r="C39">
        <v>0.797822894406317</v>
      </c>
      <c r="D39">
        <v>1.02540877005626</v>
      </c>
      <c r="E39">
        <f t="shared" si="0"/>
        <v>3902.47599999999</v>
      </c>
      <c r="F39" s="5">
        <v>3902.476</v>
      </c>
    </row>
    <row r="40" spans="1:6">
      <c r="A40" s="2">
        <v>44986</v>
      </c>
      <c r="B40">
        <v>4927.68365227279</v>
      </c>
      <c r="C40">
        <v>0.801713606784147</v>
      </c>
      <c r="D40">
        <v>0.998701426214254</v>
      </c>
      <c r="E40">
        <f t="shared" si="0"/>
        <v>3945.4609</v>
      </c>
      <c r="F40" s="5">
        <v>3945.4609</v>
      </c>
    </row>
    <row r="41" spans="1:6">
      <c r="A41" s="2">
        <v>45017</v>
      </c>
      <c r="B41">
        <v>5054.05937523596</v>
      </c>
      <c r="C41">
        <v>0.948435636763908</v>
      </c>
      <c r="D41">
        <v>0.983817517353508</v>
      </c>
      <c r="E41">
        <f t="shared" si="0"/>
        <v>4715.8801</v>
      </c>
      <c r="F41" s="5">
        <v>4715.8801</v>
      </c>
    </row>
    <row r="42" spans="1:6">
      <c r="A42" s="2">
        <v>45047</v>
      </c>
      <c r="B42">
        <v>5122.26368364827</v>
      </c>
      <c r="C42">
        <v>1.09696879029733</v>
      </c>
      <c r="D42">
        <v>1.03937898999251</v>
      </c>
      <c r="E42">
        <f t="shared" si="0"/>
        <v>5840.23249999998</v>
      </c>
      <c r="F42" s="5">
        <v>5840.2325</v>
      </c>
    </row>
    <row r="43" spans="1:6">
      <c r="A43" s="2">
        <v>45078</v>
      </c>
      <c r="B43">
        <v>5112.14082036299</v>
      </c>
      <c r="C43">
        <v>1.22392959656526</v>
      </c>
      <c r="D43">
        <v>1.00896110599486</v>
      </c>
      <c r="E43">
        <f t="shared" si="0"/>
        <v>6312.9692</v>
      </c>
      <c r="F43" s="5">
        <v>6312.9692</v>
      </c>
    </row>
    <row r="44" spans="1:6">
      <c r="A44" s="2">
        <v>45108</v>
      </c>
      <c r="B44">
        <v>5040.15293405069</v>
      </c>
      <c r="C44">
        <v>1.26657377018189</v>
      </c>
      <c r="D44">
        <v>1.01781288934734</v>
      </c>
      <c r="E44">
        <f t="shared" si="0"/>
        <v>6497.43809999998</v>
      </c>
      <c r="F44" s="5">
        <v>6497.4381</v>
      </c>
    </row>
    <row r="45" spans="1:6">
      <c r="A45" s="2">
        <v>45139</v>
      </c>
      <c r="B45">
        <v>4956.19935272083</v>
      </c>
      <c r="C45">
        <v>1.31799375520848</v>
      </c>
      <c r="D45">
        <v>0.902421111851962</v>
      </c>
      <c r="E45">
        <f t="shared" si="0"/>
        <v>5894.83109999998</v>
      </c>
      <c r="F45" s="5">
        <v>5894.8311</v>
      </c>
    </row>
    <row r="46" spans="1:6">
      <c r="A46" s="2">
        <v>45170</v>
      </c>
      <c r="B46">
        <v>4894.77976488833</v>
      </c>
      <c r="C46">
        <v>1.10282678100481</v>
      </c>
      <c r="D46">
        <v>0.982286060952852</v>
      </c>
      <c r="E46">
        <f t="shared" si="0"/>
        <v>5302.47269999999</v>
      </c>
      <c r="F46" s="5">
        <v>5302.4727</v>
      </c>
    </row>
    <row r="47" spans="1:6">
      <c r="A47" s="2">
        <v>45200</v>
      </c>
      <c r="B47">
        <v>4865.43904528796</v>
      </c>
      <c r="C47">
        <v>0.931723868554126</v>
      </c>
      <c r="D47">
        <v>1.0096010482315</v>
      </c>
      <c r="E47">
        <f t="shared" si="0"/>
        <v>4576.76960000003</v>
      </c>
      <c r="F47" s="5">
        <v>4576.7696</v>
      </c>
    </row>
    <row r="48" spans="1:6">
      <c r="A48" s="2">
        <v>45231</v>
      </c>
      <c r="B48">
        <v>4859.61854407728</v>
      </c>
      <c r="C48">
        <v>0.855258224543472</v>
      </c>
      <c r="D48">
        <v>0.979052974784506</v>
      </c>
      <c r="E48">
        <f t="shared" si="0"/>
        <v>4069.1681</v>
      </c>
      <c r="F48" s="5">
        <v>4069.1681</v>
      </c>
    </row>
    <row r="49" spans="1:6">
      <c r="A49" s="2">
        <v>45261</v>
      </c>
      <c r="B49">
        <v>4881.65915546257</v>
      </c>
      <c r="C49">
        <v>0.822770056081683</v>
      </c>
      <c r="D49">
        <v>1.04194951748795</v>
      </c>
      <c r="E49">
        <f t="shared" si="0"/>
        <v>4184.9725</v>
      </c>
      <c r="F49" s="5">
        <v>4184.9725</v>
      </c>
    </row>
    <row r="50" spans="1:8">
      <c r="A50" s="3" t="s">
        <v>7</v>
      </c>
      <c r="B50" s="6">
        <v>4935.43988025564</v>
      </c>
      <c r="C50">
        <v>0.833983019608575</v>
      </c>
      <c r="D50" s="6">
        <v>1.01235924894923</v>
      </c>
      <c r="E50">
        <f t="shared" si="0"/>
        <v>4166.94462600513</v>
      </c>
      <c r="F50" s="5">
        <v>4251.1814</v>
      </c>
      <c r="H50" s="7">
        <f t="shared" ref="H50:H57" si="1">ABS((E50-F50))/F50</f>
        <v>0.0198149093319975</v>
      </c>
    </row>
    <row r="51" spans="1:8">
      <c r="A51" s="3" t="s">
        <v>8</v>
      </c>
      <c r="B51" s="6">
        <v>4998.37511524066</v>
      </c>
      <c r="C51">
        <v>0.797822894406317</v>
      </c>
      <c r="D51" s="6">
        <v>1.01257688090669</v>
      </c>
      <c r="E51">
        <f t="shared" si="0"/>
        <v>4037.97241511331</v>
      </c>
      <c r="F51" s="5">
        <v>3779.2959</v>
      </c>
      <c r="H51" s="7">
        <f t="shared" si="1"/>
        <v>0.0684456898739559</v>
      </c>
    </row>
    <row r="52" spans="1:8">
      <c r="A52" s="3" t="s">
        <v>9</v>
      </c>
      <c r="B52" s="6">
        <v>4996.69679896838</v>
      </c>
      <c r="C52">
        <v>0.801713606784147</v>
      </c>
      <c r="D52" s="6">
        <v>1.01055994766141</v>
      </c>
      <c r="E52">
        <v>4647.72130463529</v>
      </c>
      <c r="F52" s="5">
        <v>4656.8693</v>
      </c>
      <c r="H52" s="11">
        <f t="shared" si="1"/>
        <v>0.00196440887115092</v>
      </c>
    </row>
    <row r="53" spans="1:8">
      <c r="A53" s="3" t="s">
        <v>10</v>
      </c>
      <c r="B53" s="6">
        <v>5024.88958693669</v>
      </c>
      <c r="C53">
        <v>0.948435636763908</v>
      </c>
      <c r="D53" s="6">
        <v>0.987729645428744</v>
      </c>
      <c r="E53">
        <f t="shared" si="0"/>
        <v>4707.30649120796</v>
      </c>
      <c r="F53" s="5">
        <v>4772.4236</v>
      </c>
      <c r="H53" s="7">
        <f t="shared" si="1"/>
        <v>0.013644452850337</v>
      </c>
    </row>
    <row r="54" spans="1:8">
      <c r="A54" s="3" t="s">
        <v>11</v>
      </c>
      <c r="B54" s="6">
        <v>5045.12924328634</v>
      </c>
      <c r="C54">
        <v>1.09696879029733</v>
      </c>
      <c r="D54" s="6">
        <v>1.01239472717718</v>
      </c>
      <c r="E54">
        <v>6521.76934052107</v>
      </c>
      <c r="F54" s="5">
        <v>6481.1812</v>
      </c>
      <c r="H54" s="11">
        <f t="shared" si="1"/>
        <v>0.00626246038624414</v>
      </c>
    </row>
    <row r="55" spans="1:8">
      <c r="A55" s="3" t="s">
        <v>12</v>
      </c>
      <c r="B55" s="6">
        <v>5047.68500078598</v>
      </c>
      <c r="C55">
        <v>1.22392959656526</v>
      </c>
      <c r="D55" s="6">
        <v>1.00864136813684</v>
      </c>
      <c r="E55">
        <f t="shared" si="0"/>
        <v>6231.39753458046</v>
      </c>
      <c r="F55" s="5">
        <v>6216.3173</v>
      </c>
      <c r="H55" s="7">
        <f t="shared" si="1"/>
        <v>0.00242591133185319</v>
      </c>
    </row>
    <row r="56" spans="1:8">
      <c r="A56" s="3" t="s">
        <v>13</v>
      </c>
      <c r="B56" s="6">
        <v>5051.05544774789</v>
      </c>
      <c r="C56">
        <v>1.26657377018189</v>
      </c>
      <c r="D56" s="6">
        <v>0.960926017812721</v>
      </c>
      <c r="E56">
        <f t="shared" si="0"/>
        <v>6147.5571989358</v>
      </c>
      <c r="F56" s="5">
        <v>5994.2926</v>
      </c>
      <c r="H56" s="7">
        <f t="shared" si="1"/>
        <v>0.0255684213573085</v>
      </c>
    </row>
    <row r="57" spans="1:8">
      <c r="A57" s="3" t="s">
        <v>14</v>
      </c>
      <c r="B57" s="6">
        <v>5054.28811169757</v>
      </c>
      <c r="C57">
        <v>1.31799375520848</v>
      </c>
      <c r="D57" s="6">
        <v>1.00169628696695</v>
      </c>
      <c r="E57">
        <f t="shared" si="0"/>
        <v>6672.82001808332</v>
      </c>
      <c r="F57" s="5">
        <v>7516.556</v>
      </c>
      <c r="H57" s="11">
        <f t="shared" si="1"/>
        <v>0.112250342033862</v>
      </c>
    </row>
    <row r="60" spans="8:8">
      <c r="H60">
        <f>SUM(H50:H57)/8</f>
        <v>0.0312970745045887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topLeftCell="A36" workbookViewId="0">
      <selection activeCell="H50" sqref="H50:H60"/>
    </sheetView>
  </sheetViews>
  <sheetFormatPr defaultColWidth="8.88888888888889" defaultRowHeight="13.8" outlineLevelCol="7"/>
  <cols>
    <col min="1" max="1" width="11.8888888888889" customWidth="1"/>
    <col min="2" max="3" width="14.1111111111111" customWidth="1"/>
    <col min="4" max="6" width="11.8888888888889" customWidth="1"/>
  </cols>
  <sheetData>
    <row r="1" spans="1:6">
      <c r="A1" s="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 s="2">
        <v>43831</v>
      </c>
      <c r="B2">
        <v>129827.359535866</v>
      </c>
      <c r="C2">
        <v>1.19822610266896</v>
      </c>
      <c r="D2">
        <v>0.939089591347405</v>
      </c>
      <c r="E2">
        <f t="shared" ref="E2:E57" si="0">B2*C2*D2</f>
        <v>146087.1537</v>
      </c>
      <c r="F2" s="4">
        <v>146087.1537</v>
      </c>
    </row>
    <row r="3" spans="1:6">
      <c r="A3" s="2">
        <v>43862</v>
      </c>
      <c r="B3">
        <v>129940.349194748</v>
      </c>
      <c r="C3">
        <v>1.06897356879673</v>
      </c>
      <c r="D3">
        <v>1.02230679307513</v>
      </c>
      <c r="E3">
        <f t="shared" si="0"/>
        <v>142001.274800001</v>
      </c>
      <c r="F3" s="4">
        <v>142001.2748</v>
      </c>
    </row>
    <row r="4" spans="1:6">
      <c r="A4" s="2">
        <v>43891</v>
      </c>
      <c r="B4">
        <v>130616.818981146</v>
      </c>
      <c r="C4">
        <v>0.758789710012492</v>
      </c>
      <c r="D4">
        <v>1.1084768455684</v>
      </c>
      <c r="E4">
        <f t="shared" si="0"/>
        <v>109861.9141</v>
      </c>
      <c r="F4" s="4">
        <v>109861.9141</v>
      </c>
    </row>
    <row r="5" spans="1:6">
      <c r="A5" s="2">
        <v>43922</v>
      </c>
      <c r="B5">
        <v>130736.937059635</v>
      </c>
      <c r="C5">
        <v>0.771080879264129</v>
      </c>
      <c r="D5">
        <v>0.987870739877518</v>
      </c>
      <c r="E5">
        <f t="shared" si="0"/>
        <v>99586.0167999996</v>
      </c>
      <c r="F5" s="4">
        <v>99586.0168</v>
      </c>
    </row>
    <row r="6" spans="1:6">
      <c r="A6" s="2">
        <v>43952</v>
      </c>
      <c r="B6">
        <v>130891.36020004</v>
      </c>
      <c r="C6">
        <v>0.735544967697526</v>
      </c>
      <c r="D6">
        <v>1.01044114903345</v>
      </c>
      <c r="E6">
        <f t="shared" si="0"/>
        <v>97281.7183999999</v>
      </c>
      <c r="F6" s="4">
        <v>97281.7184</v>
      </c>
    </row>
    <row r="7" spans="1:6">
      <c r="A7" s="2">
        <v>43983</v>
      </c>
      <c r="B7">
        <v>131143.066111265</v>
      </c>
      <c r="C7">
        <v>0.915554027232096</v>
      </c>
      <c r="D7">
        <v>0.939654862341748</v>
      </c>
      <c r="E7">
        <f t="shared" si="0"/>
        <v>112823.0084</v>
      </c>
      <c r="F7" s="4">
        <v>112823.0084</v>
      </c>
    </row>
    <row r="8" spans="1:6">
      <c r="A8" s="2">
        <v>44013</v>
      </c>
      <c r="B8">
        <v>131402.797478007</v>
      </c>
      <c r="C8">
        <v>1.46431290923613</v>
      </c>
      <c r="D8">
        <v>0.727428881214378</v>
      </c>
      <c r="E8">
        <f t="shared" si="0"/>
        <v>139968.0919</v>
      </c>
      <c r="F8" s="4">
        <v>139968.0919</v>
      </c>
    </row>
    <row r="9" spans="1:6">
      <c r="A9" s="2">
        <v>44044</v>
      </c>
      <c r="B9">
        <v>131793.164240549</v>
      </c>
      <c r="C9">
        <v>1.451713558907</v>
      </c>
      <c r="D9">
        <v>0.794129682068858</v>
      </c>
      <c r="E9">
        <f t="shared" si="0"/>
        <v>151937.5948</v>
      </c>
      <c r="F9" s="4">
        <v>151937.5948</v>
      </c>
    </row>
    <row r="10" spans="1:6">
      <c r="A10" s="2">
        <v>44075</v>
      </c>
      <c r="B10">
        <v>132328.083792628</v>
      </c>
      <c r="C10">
        <v>0.904189776485239</v>
      </c>
      <c r="D10">
        <v>1.49581791464046</v>
      </c>
      <c r="E10">
        <f t="shared" si="0"/>
        <v>178974.1655</v>
      </c>
      <c r="F10" s="4">
        <v>178974.1655</v>
      </c>
    </row>
    <row r="11" spans="1:6">
      <c r="A11" s="2">
        <v>44105</v>
      </c>
      <c r="B11">
        <v>132828.5300688</v>
      </c>
      <c r="C11">
        <v>0.761125831876931</v>
      </c>
      <c r="D11">
        <v>0.98028603249114</v>
      </c>
      <c r="E11">
        <f t="shared" si="0"/>
        <v>99106.1585999998</v>
      </c>
      <c r="F11" s="4">
        <v>99106.1586</v>
      </c>
    </row>
    <row r="12" spans="1:6">
      <c r="A12" s="2">
        <v>44136</v>
      </c>
      <c r="B12">
        <v>133216.386447903</v>
      </c>
      <c r="C12">
        <v>0.836179727731041</v>
      </c>
      <c r="D12">
        <v>0.976991301154804</v>
      </c>
      <c r="E12">
        <f t="shared" si="0"/>
        <v>108829.8374</v>
      </c>
      <c r="F12" s="4">
        <v>108829.8374</v>
      </c>
    </row>
    <row r="13" spans="1:6">
      <c r="A13" s="2">
        <v>44166</v>
      </c>
      <c r="B13">
        <v>133347.937978992</v>
      </c>
      <c r="C13">
        <v>1.13430894009173</v>
      </c>
      <c r="D13">
        <v>1.08448298295801</v>
      </c>
      <c r="E13">
        <f t="shared" si="0"/>
        <v>164036.464800001</v>
      </c>
      <c r="F13" s="4">
        <v>164036.4648</v>
      </c>
    </row>
    <row r="14" spans="1:6">
      <c r="A14" s="2">
        <v>44197</v>
      </c>
      <c r="B14">
        <v>133357.024154788</v>
      </c>
      <c r="C14">
        <v>1.19822610266896</v>
      </c>
      <c r="D14">
        <v>1.22056930853473</v>
      </c>
      <c r="E14">
        <f t="shared" si="0"/>
        <v>195037.049000001</v>
      </c>
      <c r="F14" s="5">
        <v>195037.049</v>
      </c>
    </row>
    <row r="15" spans="1:6">
      <c r="A15" s="2">
        <v>44228</v>
      </c>
      <c r="B15">
        <v>133313.984176991</v>
      </c>
      <c r="C15">
        <v>1.06897356879673</v>
      </c>
      <c r="D15">
        <v>0.911616489136142</v>
      </c>
      <c r="E15">
        <f t="shared" si="0"/>
        <v>129913.668600001</v>
      </c>
      <c r="F15" s="5">
        <v>129913.6686</v>
      </c>
    </row>
    <row r="16" spans="1:6">
      <c r="A16" s="2">
        <v>44256</v>
      </c>
      <c r="B16">
        <v>133200.003940219</v>
      </c>
      <c r="C16">
        <v>0.758789710012492</v>
      </c>
      <c r="D16">
        <v>0.976580441212437</v>
      </c>
      <c r="E16">
        <f t="shared" si="0"/>
        <v>98703.7589999999</v>
      </c>
      <c r="F16" s="5">
        <v>98703.759</v>
      </c>
    </row>
    <row r="17" spans="1:6">
      <c r="A17" s="2">
        <v>44287</v>
      </c>
      <c r="B17">
        <v>133226.038241026</v>
      </c>
      <c r="C17">
        <v>0.771080879264129</v>
      </c>
      <c r="D17">
        <v>1.03975719449648</v>
      </c>
      <c r="E17">
        <f t="shared" si="0"/>
        <v>106812.2298</v>
      </c>
      <c r="F17" s="5">
        <v>106812.2298</v>
      </c>
    </row>
    <row r="18" spans="1:6">
      <c r="A18" s="2">
        <v>44317</v>
      </c>
      <c r="B18">
        <v>133677.619801183</v>
      </c>
      <c r="C18">
        <v>0.735544967697526</v>
      </c>
      <c r="D18">
        <v>1.03537168378227</v>
      </c>
      <c r="E18">
        <f t="shared" si="0"/>
        <v>101803.8532</v>
      </c>
      <c r="F18" s="5">
        <v>101803.8532</v>
      </c>
    </row>
    <row r="19" spans="1:6">
      <c r="A19" s="2">
        <v>44348</v>
      </c>
      <c r="B19">
        <v>134698.323261919</v>
      </c>
      <c r="C19">
        <v>0.915554027232096</v>
      </c>
      <c r="D19">
        <v>0.952388396954567</v>
      </c>
      <c r="E19">
        <f t="shared" si="0"/>
        <v>117451.9584</v>
      </c>
      <c r="F19" s="5">
        <v>117451.9584</v>
      </c>
    </row>
    <row r="20" spans="1:6">
      <c r="A20" s="2">
        <v>44378</v>
      </c>
      <c r="B20">
        <v>136296.134101454</v>
      </c>
      <c r="C20">
        <v>1.46431290923613</v>
      </c>
      <c r="D20">
        <v>0.926828660985961</v>
      </c>
      <c r="E20">
        <f t="shared" si="0"/>
        <v>184976.639000001</v>
      </c>
      <c r="F20" s="5">
        <v>184976.639</v>
      </c>
    </row>
    <row r="21" spans="1:6">
      <c r="A21" s="2">
        <v>44409</v>
      </c>
      <c r="B21">
        <v>138303.82468953</v>
      </c>
      <c r="C21">
        <v>1.451713558907</v>
      </c>
      <c r="D21">
        <v>1.0206113696781</v>
      </c>
      <c r="E21">
        <f t="shared" si="0"/>
        <v>204915.837599999</v>
      </c>
      <c r="F21" s="5">
        <v>204915.8376</v>
      </c>
    </row>
    <row r="22" spans="1:6">
      <c r="A22" s="2">
        <v>44440</v>
      </c>
      <c r="B22">
        <v>140549.383389324</v>
      </c>
      <c r="C22">
        <v>0.904189776485239</v>
      </c>
      <c r="D22">
        <v>0.941618903160427</v>
      </c>
      <c r="E22">
        <f t="shared" si="0"/>
        <v>119664.0522</v>
      </c>
      <c r="F22" s="5">
        <v>119664.0522</v>
      </c>
    </row>
    <row r="23" spans="1:6">
      <c r="A23" s="2">
        <v>44470</v>
      </c>
      <c r="B23">
        <v>142932.501297782</v>
      </c>
      <c r="C23">
        <v>0.761125831876931</v>
      </c>
      <c r="D23">
        <v>1.13537046998852</v>
      </c>
      <c r="E23">
        <f t="shared" si="0"/>
        <v>123516.5208</v>
      </c>
      <c r="F23" s="5">
        <v>123516.5208</v>
      </c>
    </row>
    <row r="24" spans="1:6">
      <c r="A24" s="2">
        <v>44501</v>
      </c>
      <c r="B24">
        <v>145388.044025604</v>
      </c>
      <c r="C24">
        <v>0.836179727731041</v>
      </c>
      <c r="D24">
        <v>1.09702834099281</v>
      </c>
      <c r="E24">
        <f t="shared" si="0"/>
        <v>133366.3224</v>
      </c>
      <c r="F24" s="5">
        <v>133366.3224</v>
      </c>
    </row>
    <row r="25" spans="1:6">
      <c r="A25" s="2">
        <v>44531</v>
      </c>
      <c r="B25">
        <v>147768.201793191</v>
      </c>
      <c r="C25">
        <v>1.13430894009173</v>
      </c>
      <c r="D25">
        <v>0.884815965918027</v>
      </c>
      <c r="E25">
        <f t="shared" si="0"/>
        <v>148308.2444</v>
      </c>
      <c r="F25" s="5">
        <v>148308.2444</v>
      </c>
    </row>
    <row r="26" spans="1:6">
      <c r="A26" s="2">
        <v>44562</v>
      </c>
      <c r="B26">
        <v>149862.583048657</v>
      </c>
      <c r="C26">
        <v>1.19822610266896</v>
      </c>
      <c r="D26">
        <v>0.999056125066134</v>
      </c>
      <c r="E26">
        <f t="shared" si="0"/>
        <v>179399.7679</v>
      </c>
      <c r="F26" s="5">
        <v>179399.7679</v>
      </c>
    </row>
    <row r="27" spans="1:6">
      <c r="A27" s="2">
        <v>44593</v>
      </c>
      <c r="B27">
        <v>151570.94471758</v>
      </c>
      <c r="C27">
        <v>1.06897356879673</v>
      </c>
      <c r="D27">
        <v>1.09929533815423</v>
      </c>
      <c r="E27">
        <f t="shared" si="0"/>
        <v>178113.694000001</v>
      </c>
      <c r="F27" s="5">
        <v>178113.694</v>
      </c>
    </row>
    <row r="28" spans="1:6">
      <c r="A28" s="2">
        <v>44621</v>
      </c>
      <c r="B28">
        <v>152835.004575625</v>
      </c>
      <c r="C28">
        <v>0.758789710012492</v>
      </c>
      <c r="D28">
        <v>0.939383945828467</v>
      </c>
      <c r="E28">
        <f t="shared" si="0"/>
        <v>108940.0075</v>
      </c>
      <c r="F28" s="5">
        <v>108940.0075</v>
      </c>
    </row>
    <row r="29" spans="1:6">
      <c r="A29" s="2">
        <v>44652</v>
      </c>
      <c r="B29">
        <v>153547.372620218</v>
      </c>
      <c r="C29">
        <v>0.771080879264129</v>
      </c>
      <c r="D29">
        <v>0.962489615714357</v>
      </c>
      <c r="E29">
        <f t="shared" si="0"/>
        <v>113956.3095</v>
      </c>
      <c r="F29" s="5">
        <v>113956.3095</v>
      </c>
    </row>
    <row r="30" spans="1:6">
      <c r="A30" s="2">
        <v>44682</v>
      </c>
      <c r="B30">
        <v>153692.031460498</v>
      </c>
      <c r="C30">
        <v>0.735544967697526</v>
      </c>
      <c r="D30">
        <v>0.975988772776796</v>
      </c>
      <c r="E30">
        <f t="shared" si="0"/>
        <v>110332.9935</v>
      </c>
      <c r="F30" s="5">
        <v>110332.9935</v>
      </c>
    </row>
    <row r="31" spans="1:6">
      <c r="A31" s="2">
        <v>44713</v>
      </c>
      <c r="B31">
        <v>153397.247012074</v>
      </c>
      <c r="C31">
        <v>0.915554027232096</v>
      </c>
      <c r="D31">
        <v>1.03173610719299</v>
      </c>
      <c r="E31">
        <f t="shared" si="0"/>
        <v>144900.5962</v>
      </c>
      <c r="F31" s="5">
        <v>144900.5962</v>
      </c>
    </row>
    <row r="32" spans="1:6">
      <c r="A32" s="2">
        <v>44743</v>
      </c>
      <c r="B32">
        <v>152767.048505026</v>
      </c>
      <c r="C32">
        <v>1.46431290923613</v>
      </c>
      <c r="D32">
        <v>1.07794662908356</v>
      </c>
      <c r="E32">
        <f t="shared" si="0"/>
        <v>241135.325599999</v>
      </c>
      <c r="F32" s="5">
        <v>241135.3256</v>
      </c>
    </row>
    <row r="33" spans="1:6">
      <c r="A33" s="2">
        <v>44774</v>
      </c>
      <c r="B33">
        <v>151910.864090423</v>
      </c>
      <c r="C33">
        <v>1.451713558907</v>
      </c>
      <c r="D33">
        <v>1.54388799261072</v>
      </c>
      <c r="E33">
        <f t="shared" si="0"/>
        <v>340475.2573</v>
      </c>
      <c r="F33" s="5">
        <v>340475.2573</v>
      </c>
    </row>
    <row r="34" spans="1:6">
      <c r="A34" s="2">
        <v>44805</v>
      </c>
      <c r="B34">
        <v>151023.704616917</v>
      </c>
      <c r="C34">
        <v>0.904189776485239</v>
      </c>
      <c r="D34">
        <v>0.940591993706773</v>
      </c>
      <c r="E34">
        <f t="shared" si="0"/>
        <v>128441.6835</v>
      </c>
      <c r="F34" s="5">
        <v>128441.6835</v>
      </c>
    </row>
    <row r="35" spans="1:6">
      <c r="A35" s="2">
        <v>44835</v>
      </c>
      <c r="B35">
        <v>150282.627036101</v>
      </c>
      <c r="C35">
        <v>0.761125831876931</v>
      </c>
      <c r="D35">
        <v>0.947521505022522</v>
      </c>
      <c r="E35">
        <f t="shared" si="0"/>
        <v>108381.2899</v>
      </c>
      <c r="F35" s="5">
        <v>108381.2899</v>
      </c>
    </row>
    <row r="36" spans="1:6">
      <c r="A36" s="2">
        <v>44866</v>
      </c>
      <c r="B36">
        <v>149833.796133716</v>
      </c>
      <c r="C36">
        <v>0.836179727731041</v>
      </c>
      <c r="D36">
        <v>0.94949192083911</v>
      </c>
      <c r="E36">
        <f t="shared" si="0"/>
        <v>118959.9275</v>
      </c>
      <c r="F36" s="5">
        <v>118959.9275</v>
      </c>
    </row>
    <row r="37" spans="1:6">
      <c r="A37" s="2">
        <v>44896</v>
      </c>
      <c r="B37">
        <v>149903.741652273</v>
      </c>
      <c r="C37">
        <v>1.13430894009173</v>
      </c>
      <c r="D37">
        <v>1.02693057296345</v>
      </c>
      <c r="E37">
        <f t="shared" si="0"/>
        <v>174616.3523</v>
      </c>
      <c r="F37" s="5">
        <v>174616.3523</v>
      </c>
    </row>
    <row r="38" spans="1:6">
      <c r="A38" s="2">
        <v>44927</v>
      </c>
      <c r="B38">
        <v>150596.490757617</v>
      </c>
      <c r="C38">
        <v>1.19822610266896</v>
      </c>
      <c r="D38">
        <v>1.00594917904073</v>
      </c>
      <c r="E38">
        <f t="shared" si="0"/>
        <v>181522.1675</v>
      </c>
      <c r="F38" s="5">
        <v>181522.1675</v>
      </c>
    </row>
    <row r="39" spans="1:6">
      <c r="A39" s="2">
        <v>44958</v>
      </c>
      <c r="B39">
        <v>151762.394725429</v>
      </c>
      <c r="C39">
        <v>1.06897356879673</v>
      </c>
      <c r="D39">
        <v>0.972433870367315</v>
      </c>
      <c r="E39">
        <f t="shared" si="0"/>
        <v>157757.9358</v>
      </c>
      <c r="F39" s="5">
        <v>157757.9358</v>
      </c>
    </row>
    <row r="40" spans="1:6">
      <c r="A40" s="2">
        <v>44986</v>
      </c>
      <c r="B40">
        <v>153286.606478047</v>
      </c>
      <c r="C40">
        <v>0.758789710012492</v>
      </c>
      <c r="D40">
        <v>0.981940330609176</v>
      </c>
      <c r="E40">
        <f t="shared" si="0"/>
        <v>114211.738</v>
      </c>
      <c r="F40" s="5">
        <v>114211.738</v>
      </c>
    </row>
    <row r="41" spans="1:6">
      <c r="A41" s="2">
        <v>45017</v>
      </c>
      <c r="B41">
        <v>155059.075647034</v>
      </c>
      <c r="C41">
        <v>0.771080879264129</v>
      </c>
      <c r="D41">
        <v>1.01502139193977</v>
      </c>
      <c r="E41">
        <f t="shared" si="0"/>
        <v>121359.092400001</v>
      </c>
      <c r="F41" s="5">
        <v>121359.0924</v>
      </c>
    </row>
    <row r="42" spans="1:6">
      <c r="A42" s="2">
        <v>45047</v>
      </c>
      <c r="B42">
        <v>156801.460877164</v>
      </c>
      <c r="C42">
        <v>0.735544967697526</v>
      </c>
      <c r="D42">
        <v>0.981553586256662</v>
      </c>
      <c r="E42">
        <f t="shared" si="0"/>
        <v>113207.0171</v>
      </c>
      <c r="F42" s="5">
        <v>113207.0171</v>
      </c>
    </row>
    <row r="43" spans="1:6">
      <c r="A43" s="2">
        <v>45078</v>
      </c>
      <c r="B43">
        <v>158193.431788976</v>
      </c>
      <c r="C43">
        <v>0.915554027232096</v>
      </c>
      <c r="D43">
        <v>1.0768818580925</v>
      </c>
      <c r="E43">
        <f t="shared" si="0"/>
        <v>155969.789299999</v>
      </c>
      <c r="F43" s="5">
        <v>155969.7893</v>
      </c>
    </row>
    <row r="44" spans="1:6">
      <c r="A44" s="2">
        <v>45108</v>
      </c>
      <c r="B44">
        <v>159059.077644178</v>
      </c>
      <c r="C44">
        <v>1.46431290923613</v>
      </c>
      <c r="D44">
        <v>1.02952460361261</v>
      </c>
      <c r="E44">
        <f t="shared" si="0"/>
        <v>239788.902900001</v>
      </c>
      <c r="F44" s="5">
        <v>239788.9029</v>
      </c>
    </row>
    <row r="45" spans="1:6">
      <c r="A45" s="2">
        <v>45139</v>
      </c>
      <c r="B45">
        <v>159588.393244029</v>
      </c>
      <c r="C45">
        <v>1.451713558907</v>
      </c>
      <c r="D45">
        <v>0.942988779789965</v>
      </c>
      <c r="E45">
        <f t="shared" si="0"/>
        <v>218468.466699999</v>
      </c>
      <c r="F45" s="5">
        <v>218468.4667</v>
      </c>
    </row>
    <row r="46" spans="1:6">
      <c r="A46" s="2">
        <v>45170</v>
      </c>
      <c r="B46">
        <v>160003.631339299</v>
      </c>
      <c r="C46">
        <v>0.904189776485239</v>
      </c>
      <c r="D46">
        <v>1.03624042683229</v>
      </c>
      <c r="E46">
        <f t="shared" si="0"/>
        <v>149916.6824</v>
      </c>
      <c r="F46" s="5">
        <v>149916.6824</v>
      </c>
    </row>
    <row r="47" spans="1:6">
      <c r="A47" s="2">
        <v>45200</v>
      </c>
      <c r="B47">
        <v>160286.034590422</v>
      </c>
      <c r="C47">
        <v>0.761125831876931</v>
      </c>
      <c r="D47">
        <v>0.981294157426036</v>
      </c>
      <c r="E47">
        <f t="shared" si="0"/>
        <v>119715.769</v>
      </c>
      <c r="F47" s="5">
        <v>119715.769</v>
      </c>
    </row>
    <row r="48" spans="1:6">
      <c r="A48" s="2">
        <v>45231</v>
      </c>
      <c r="B48">
        <v>160284.477523116</v>
      </c>
      <c r="C48">
        <v>0.836179727731041</v>
      </c>
      <c r="D48">
        <v>0.968343070699729</v>
      </c>
      <c r="E48">
        <f t="shared" si="0"/>
        <v>129783.7592</v>
      </c>
      <c r="F48" s="5">
        <v>129783.7592</v>
      </c>
    </row>
    <row r="49" spans="1:6">
      <c r="A49" s="2">
        <v>45261</v>
      </c>
      <c r="B49">
        <v>160666.79790067</v>
      </c>
      <c r="C49">
        <v>1.13430894009173</v>
      </c>
      <c r="D49">
        <v>0.99692831176359</v>
      </c>
      <c r="E49">
        <f t="shared" si="0"/>
        <v>181685.983000001</v>
      </c>
      <c r="F49" s="5">
        <v>181685.983</v>
      </c>
    </row>
    <row r="50" spans="1:8">
      <c r="A50" s="3" t="s">
        <v>7</v>
      </c>
      <c r="B50" s="6">
        <v>161171.552365977</v>
      </c>
      <c r="C50">
        <v>1.19822610266896</v>
      </c>
      <c r="D50" s="6">
        <v>1.06774441123185</v>
      </c>
      <c r="E50">
        <v>192365.936087638</v>
      </c>
      <c r="F50" s="5">
        <v>192797.2548</v>
      </c>
      <c r="H50" s="7">
        <f t="shared" ref="H50:H57" si="1">ABS((E50-F50))/F50</f>
        <v>0.00223716210487246</v>
      </c>
    </row>
    <row r="51" spans="1:8">
      <c r="A51" s="3" t="s">
        <v>8</v>
      </c>
      <c r="B51" s="6">
        <v>164819.037852241</v>
      </c>
      <c r="C51">
        <v>1.06897356879673</v>
      </c>
      <c r="D51" s="6">
        <v>1.01468745932619</v>
      </c>
      <c r="E51">
        <v>159949.955971265</v>
      </c>
      <c r="F51" s="5">
        <v>157446.7629</v>
      </c>
      <c r="H51" s="8">
        <f t="shared" si="1"/>
        <v>0.0158986633015432</v>
      </c>
    </row>
    <row r="52" spans="1:8">
      <c r="A52" s="3" t="s">
        <v>9</v>
      </c>
      <c r="B52" s="6">
        <v>165514.180168194</v>
      </c>
      <c r="C52">
        <v>0.758789710012492</v>
      </c>
      <c r="D52" s="6">
        <v>0.975081701407596</v>
      </c>
      <c r="E52">
        <v>139728.787694687</v>
      </c>
      <c r="F52" s="5">
        <v>146699.0444</v>
      </c>
      <c r="H52" s="8">
        <f t="shared" si="1"/>
        <v>0.0475139884777124</v>
      </c>
    </row>
    <row r="53" spans="1:8">
      <c r="A53" s="3" t="s">
        <v>10</v>
      </c>
      <c r="B53" s="6">
        <v>165952.504543511</v>
      </c>
      <c r="C53">
        <v>0.771080879264129</v>
      </c>
      <c r="D53" s="6">
        <v>1.01694260943289</v>
      </c>
      <c r="E53">
        <v>117284.286175374</v>
      </c>
      <c r="F53" s="5">
        <v>122680.203</v>
      </c>
      <c r="H53" s="7">
        <f t="shared" si="1"/>
        <v>0.0439835987606411</v>
      </c>
    </row>
    <row r="54" spans="1:8">
      <c r="A54" s="3" t="s">
        <v>11</v>
      </c>
      <c r="B54" s="6">
        <v>166775.851700404</v>
      </c>
      <c r="C54">
        <v>0.735544967697526</v>
      </c>
      <c r="D54" s="6">
        <v>1.00108127832402</v>
      </c>
      <c r="E54">
        <v>160121.321569003</v>
      </c>
      <c r="F54" s="5">
        <v>153271.1366</v>
      </c>
      <c r="H54" s="9">
        <f t="shared" si="1"/>
        <v>0.0446932483242444</v>
      </c>
    </row>
    <row r="55" spans="1:8">
      <c r="A55" s="3" t="s">
        <v>12</v>
      </c>
      <c r="B55" s="6">
        <v>166887.727478908</v>
      </c>
      <c r="C55">
        <v>0.915554027232096</v>
      </c>
      <c r="D55" s="6">
        <v>0.974611311669548</v>
      </c>
      <c r="E55">
        <v>171344.073097511</v>
      </c>
      <c r="F55" s="5">
        <v>167265.2132</v>
      </c>
      <c r="H55" s="8">
        <f t="shared" si="1"/>
        <v>0.0243855839446656</v>
      </c>
    </row>
    <row r="56" spans="1:8">
      <c r="A56" s="3" t="s">
        <v>13</v>
      </c>
      <c r="B56" s="6">
        <v>166696.358439912</v>
      </c>
      <c r="C56">
        <v>1.46431290923613</v>
      </c>
      <c r="D56" s="6">
        <v>0.990476880382145</v>
      </c>
      <c r="E56">
        <v>215969.408157931</v>
      </c>
      <c r="F56" s="5">
        <v>202163.4444</v>
      </c>
      <c r="H56" s="8">
        <f t="shared" si="1"/>
        <v>0.068291098813169</v>
      </c>
    </row>
    <row r="57" spans="1:8">
      <c r="A57" s="3" t="s">
        <v>14</v>
      </c>
      <c r="B57" s="6">
        <v>166618.616699644</v>
      </c>
      <c r="C57">
        <v>1.451713558907</v>
      </c>
      <c r="D57" s="6">
        <v>1.02321010003926</v>
      </c>
      <c r="E57">
        <v>230262.105788174</v>
      </c>
      <c r="F57" s="5">
        <v>333966.5</v>
      </c>
      <c r="H57" s="10">
        <f t="shared" si="1"/>
        <v>0.310523343544415</v>
      </c>
    </row>
    <row r="60" spans="8:8">
      <c r="H60">
        <f>SUM(H50:H57)/8</f>
        <v>0.069690835908908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workbookViewId="0">
      <selection activeCell="A2" sqref="A2:A57"/>
    </sheetView>
  </sheetViews>
  <sheetFormatPr defaultColWidth="8.88888888888889" defaultRowHeight="13.8" outlineLevelCol="5"/>
  <cols>
    <col min="1" max="1" width="11.8888888888889" customWidth="1"/>
    <col min="2" max="3" width="14.1111111111111" customWidth="1"/>
    <col min="4" max="6" width="11.8888888888889" customWidth="1"/>
  </cols>
  <sheetData>
    <row r="1" spans="1:6">
      <c r="A1" s="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1">
      <c r="A2" s="2">
        <v>43831</v>
      </c>
    </row>
    <row r="3" spans="1:1">
      <c r="A3" s="2">
        <v>43862</v>
      </c>
    </row>
    <row r="4" spans="1:1">
      <c r="A4" s="2">
        <v>43891</v>
      </c>
    </row>
    <row r="5" spans="1:1">
      <c r="A5" s="2">
        <v>43922</v>
      </c>
    </row>
    <row r="6" spans="1:1">
      <c r="A6" s="2">
        <v>43952</v>
      </c>
    </row>
    <row r="7" spans="1:1">
      <c r="A7" s="2">
        <v>43983</v>
      </c>
    </row>
    <row r="8" spans="1:1">
      <c r="A8" s="2">
        <v>44013</v>
      </c>
    </row>
    <row r="9" spans="1:1">
      <c r="A9" s="2">
        <v>44044</v>
      </c>
    </row>
    <row r="10" spans="1:1">
      <c r="A10" s="2">
        <v>44075</v>
      </c>
    </row>
    <row r="11" spans="1:1">
      <c r="A11" s="2">
        <v>44105</v>
      </c>
    </row>
    <row r="12" spans="1:1">
      <c r="A12" s="2">
        <v>44136</v>
      </c>
    </row>
    <row r="13" spans="1:1">
      <c r="A13" s="2">
        <v>44166</v>
      </c>
    </row>
    <row r="14" spans="1:1">
      <c r="A14" s="2">
        <v>44197</v>
      </c>
    </row>
    <row r="15" spans="1:1">
      <c r="A15" s="2">
        <v>44228</v>
      </c>
    </row>
    <row r="16" spans="1:1">
      <c r="A16" s="2">
        <v>44256</v>
      </c>
    </row>
    <row r="17" spans="1:1">
      <c r="A17" s="2">
        <v>44287</v>
      </c>
    </row>
    <row r="18" spans="1:1">
      <c r="A18" s="2">
        <v>44317</v>
      </c>
    </row>
    <row r="19" spans="1:1">
      <c r="A19" s="2">
        <v>44348</v>
      </c>
    </row>
    <row r="20" spans="1:1">
      <c r="A20" s="2">
        <v>44378</v>
      </c>
    </row>
    <row r="21" spans="1:1">
      <c r="A21" s="2">
        <v>44409</v>
      </c>
    </row>
    <row r="22" spans="1:1">
      <c r="A22" s="2">
        <v>44440</v>
      </c>
    </row>
    <row r="23" spans="1:1">
      <c r="A23" s="2">
        <v>44470</v>
      </c>
    </row>
    <row r="24" spans="1:1">
      <c r="A24" s="2">
        <v>44501</v>
      </c>
    </row>
    <row r="25" spans="1:1">
      <c r="A25" s="2">
        <v>44531</v>
      </c>
    </row>
    <row r="26" spans="1:1">
      <c r="A26" s="2">
        <v>44562</v>
      </c>
    </row>
    <row r="27" spans="1:1">
      <c r="A27" s="2">
        <v>44593</v>
      </c>
    </row>
    <row r="28" spans="1:1">
      <c r="A28" s="2">
        <v>44621</v>
      </c>
    </row>
    <row r="29" spans="1:1">
      <c r="A29" s="2">
        <v>44652</v>
      </c>
    </row>
    <row r="30" spans="1:1">
      <c r="A30" s="2">
        <v>44682</v>
      </c>
    </row>
    <row r="31" spans="1:1">
      <c r="A31" s="2">
        <v>44713</v>
      </c>
    </row>
    <row r="32" spans="1:1">
      <c r="A32" s="2">
        <v>44743</v>
      </c>
    </row>
    <row r="33" spans="1:1">
      <c r="A33" s="2">
        <v>44774</v>
      </c>
    </row>
    <row r="34" spans="1:1">
      <c r="A34" s="2">
        <v>44805</v>
      </c>
    </row>
    <row r="35" spans="1:1">
      <c r="A35" s="2">
        <v>44835</v>
      </c>
    </row>
    <row r="36" spans="1:1">
      <c r="A36" s="2">
        <v>44866</v>
      </c>
    </row>
    <row r="37" spans="1:1">
      <c r="A37" s="2">
        <v>44896</v>
      </c>
    </row>
    <row r="38" spans="1:1">
      <c r="A38" s="2">
        <v>44927</v>
      </c>
    </row>
    <row r="39" spans="1:1">
      <c r="A39" s="2">
        <v>44958</v>
      </c>
    </row>
    <row r="40" spans="1:1">
      <c r="A40" s="2">
        <v>44986</v>
      </c>
    </row>
    <row r="41" spans="1:1">
      <c r="A41" s="2">
        <v>45017</v>
      </c>
    </row>
    <row r="42" spans="1:1">
      <c r="A42" s="2">
        <v>45047</v>
      </c>
    </row>
    <row r="43" spans="1:1">
      <c r="A43" s="2">
        <v>45078</v>
      </c>
    </row>
    <row r="44" spans="1:1">
      <c r="A44" s="2">
        <v>45108</v>
      </c>
    </row>
    <row r="45" spans="1:1">
      <c r="A45" s="2">
        <v>45139</v>
      </c>
    </row>
    <row r="46" spans="1:1">
      <c r="A46" s="2">
        <v>45170</v>
      </c>
    </row>
    <row r="47" spans="1:1">
      <c r="A47" s="2">
        <v>45200</v>
      </c>
    </row>
    <row r="48" spans="1:1">
      <c r="A48" s="2">
        <v>45231</v>
      </c>
    </row>
    <row r="49" spans="1:1">
      <c r="A49" s="2">
        <v>45261</v>
      </c>
    </row>
    <row r="50" spans="1:1">
      <c r="A50" s="3" t="s">
        <v>7</v>
      </c>
    </row>
    <row r="51" spans="1:1">
      <c r="A51" s="3" t="s">
        <v>8</v>
      </c>
    </row>
    <row r="52" spans="1:1">
      <c r="A52" s="3" t="s">
        <v>9</v>
      </c>
    </row>
    <row r="53" spans="1:1">
      <c r="A53" s="3" t="s">
        <v>10</v>
      </c>
    </row>
    <row r="54" spans="1:1">
      <c r="A54" s="3" t="s">
        <v>11</v>
      </c>
    </row>
    <row r="55" spans="1:1">
      <c r="A55" s="3" t="s">
        <v>12</v>
      </c>
    </row>
    <row r="56" spans="1:1">
      <c r="A56" s="3" t="s">
        <v>13</v>
      </c>
    </row>
    <row r="57" spans="1:1">
      <c r="A57" s="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2017-2024月度</vt:lpstr>
      <vt:lpstr>大工业</vt:lpstr>
      <vt:lpstr>一般工商业及其他</vt:lpstr>
      <vt:lpstr>农业</vt:lpstr>
      <vt:lpstr>居民</vt:lpstr>
      <vt:lpstr>趸售</vt:lpstr>
      <vt:lpstr>大工业2020-2024</vt:lpstr>
      <vt:lpstr>一般工商业及其他2020-2024</vt:lpstr>
      <vt:lpstr>农业2020-2024</vt:lpstr>
      <vt:lpstr>居民2020-2024</vt:lpstr>
      <vt:lpstr>趸售2020-2024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（   ）</cp:lastModifiedBy>
  <dcterms:created xsi:type="dcterms:W3CDTF">2015-06-05T18:19:00Z</dcterms:created>
  <dcterms:modified xsi:type="dcterms:W3CDTF">2024-10-10T07:56:15Z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793ED969423F4E8594CB881436A1271D_12</vt:lpwstr>
  </property>
  <property fmtid="{D5CDD505-2E9C-101B-9397-08002B2CF9AE}" pid="3" name="KSOProductBuildVer">
    <vt:lpwstr>2052-12.1.0.18276</vt:lpwstr>
  </property>
</Properties>
</file>